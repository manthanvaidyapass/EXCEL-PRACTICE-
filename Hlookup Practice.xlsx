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0CC96BB9-C1F9-4F20-AECF-3D0331F98E51}" xr6:coauthVersionLast="47" xr6:coauthVersionMax="47" xr10:uidLastSave="{00000000-0000-0000-0000-000000000000}"/>
  <bookViews>
    <workbookView xWindow="-108" yWindow="-108" windowWidth="23256" windowHeight="12456" xr2:uid="{B8942BEE-3145-4093-8266-3239DF328038}"/>
  </bookViews>
  <sheets>
    <sheet name="employee_lookup_data" sheetId="2" r:id="rId1"/>
    <sheet name="Sheet1" sheetId="1" r:id="rId2"/>
  </sheets>
  <definedNames>
    <definedName name="Oursearch3">employee_lookup_data!$A$2:$G$5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2862B-6BDC-493D-9232-B15ACE98B4E8}" keepAlive="1" name="Query - employee_lookup_data" description="Connection to the 'employee_lookup_data' query in the workbook." type="5" refreshedVersion="0" background="1">
    <dbPr connection="Provider=Microsoft.Mashup.OleDb.1;Data Source=$Workbook$;Location=employee_lookup_data;Extended Properties=&quot;&quot;" command="SELECT * FROM [employee_lookup_data]"/>
  </connection>
</connections>
</file>

<file path=xl/sharedStrings.xml><?xml version="1.0" encoding="utf-8"?>
<sst xmlns="http://schemas.openxmlformats.org/spreadsheetml/2006/main" count="30" uniqueCount="25">
  <si>
    <t>Emp ID</t>
  </si>
  <si>
    <t>Emp Name</t>
  </si>
  <si>
    <t>Email Address</t>
  </si>
  <si>
    <t>Job Title</t>
  </si>
  <si>
    <t>Rocco Anderson</t>
  </si>
  <si>
    <t>Rocco_Anderson7355@sheye.org</t>
  </si>
  <si>
    <t>Project Manager</t>
  </si>
  <si>
    <t>Hank Saunders</t>
  </si>
  <si>
    <t>Hank_Saunders7355@sheye.org</t>
  </si>
  <si>
    <t>Chef Manager</t>
  </si>
  <si>
    <t>Eden Connell</t>
  </si>
  <si>
    <t>Eden_Connell7355@sheye.org</t>
  </si>
  <si>
    <t>Owen Lindow</t>
  </si>
  <si>
    <t>Owen_Lindow7355@sheye.org</t>
  </si>
  <si>
    <t>Business Broker</t>
  </si>
  <si>
    <t>Barney Cavanaugh</t>
  </si>
  <si>
    <t>Barney_Cavanaugh7355@sheye.org</t>
  </si>
  <si>
    <t>Fabricator</t>
  </si>
  <si>
    <t>Mason Randall</t>
  </si>
  <si>
    <t>Mason_Randall7355@sheye.org</t>
  </si>
  <si>
    <t>Food Technologist</t>
  </si>
  <si>
    <t>Find the salary of Eden Connell using HLOOKUP</t>
  </si>
  <si>
    <t>Find the job title for Emp ID 105</t>
  </si>
  <si>
    <t>Salary</t>
  </si>
  <si>
    <t>Salary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</si>
</sst>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1" fillId="2" borderId="0" xfId="1"/>
    <xf numFmtId="0" fontId="1" fillId="3" borderId="0" xfId="2" applyNumberFormat="1"/>
    <xf numFmtId="0" fontId="1" fillId="3" borderId="0" xfId="2"/>
    <xf numFmtId="0" fontId="0" fillId="3" borderId="0" xfId="2" applyFont="1"/>
  </cellXfs>
  <cellStyles count="3">
    <cellStyle name="20% - Accent2" xfId="2" builtinId="34"/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2E02-8645-420B-BE12-22D28A6D05F3}">
  <dimension ref="A1:G25"/>
  <sheetViews>
    <sheetView tabSelected="1" zoomScale="76" zoomScaleNormal="76" workbookViewId="0">
      <selection activeCell="D25" sqref="D25"/>
    </sheetView>
  </sheetViews>
  <sheetFormatPr defaultRowHeight="14.4" x14ac:dyDescent="0.3"/>
  <cols>
    <col min="1" max="1" width="12.109375" customWidth="1"/>
    <col min="2" max="2" width="30.21875" customWidth="1"/>
    <col min="3" max="3" width="29.33203125" customWidth="1"/>
    <col min="4" max="4" width="28.33203125" customWidth="1"/>
    <col min="5" max="5" width="26.88671875" customWidth="1"/>
    <col min="6" max="6" width="32.6640625" customWidth="1"/>
    <col min="7" max="7" width="39.21875" customWidth="1"/>
  </cols>
  <sheetData>
    <row r="1" spans="1:7" x14ac:dyDescent="0.3">
      <c r="A1" s="2" t="s">
        <v>0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</row>
    <row r="2" spans="1:7" x14ac:dyDescent="0.3">
      <c r="A2" s="2" t="s">
        <v>1</v>
      </c>
      <c r="B2" s="1" t="s">
        <v>4</v>
      </c>
      <c r="C2" s="1" t="s">
        <v>7</v>
      </c>
      <c r="D2" s="1" t="s">
        <v>10</v>
      </c>
      <c r="E2" s="1" t="s">
        <v>12</v>
      </c>
      <c r="F2" s="1" t="s">
        <v>15</v>
      </c>
      <c r="G2" s="1" t="s">
        <v>18</v>
      </c>
    </row>
    <row r="3" spans="1:7" x14ac:dyDescent="0.3">
      <c r="A3" s="2" t="s">
        <v>2</v>
      </c>
      <c r="B3" s="1" t="s">
        <v>5</v>
      </c>
      <c r="C3" s="1" t="s">
        <v>8</v>
      </c>
      <c r="D3" s="1" t="s">
        <v>11</v>
      </c>
      <c r="E3" s="1" t="s">
        <v>13</v>
      </c>
      <c r="F3" s="1" t="s">
        <v>16</v>
      </c>
      <c r="G3" s="1" t="s">
        <v>19</v>
      </c>
    </row>
    <row r="4" spans="1:7" x14ac:dyDescent="0.3">
      <c r="A4" s="2" t="s">
        <v>3</v>
      </c>
      <c r="B4" s="1" t="s">
        <v>6</v>
      </c>
      <c r="C4" s="1" t="s">
        <v>9</v>
      </c>
      <c r="D4" s="1" t="s">
        <v>9</v>
      </c>
      <c r="E4" s="1" t="s">
        <v>14</v>
      </c>
      <c r="F4" s="1" t="s">
        <v>17</v>
      </c>
      <c r="G4" s="1" t="s">
        <v>20</v>
      </c>
    </row>
    <row r="5" spans="1:7" x14ac:dyDescent="0.3">
      <c r="A5" s="2" t="s">
        <v>24</v>
      </c>
      <c r="B5">
        <v>4000</v>
      </c>
      <c r="C5">
        <v>5400</v>
      </c>
      <c r="D5">
        <v>3000</v>
      </c>
      <c r="E5">
        <v>8000</v>
      </c>
      <c r="F5">
        <v>2000</v>
      </c>
      <c r="G5">
        <v>5000</v>
      </c>
    </row>
    <row r="6" spans="1:7" x14ac:dyDescent="0.3">
      <c r="B6" s="1"/>
      <c r="C6" s="1"/>
      <c r="D6" s="1"/>
    </row>
    <row r="7" spans="1:7" x14ac:dyDescent="0.3">
      <c r="B7" s="1"/>
      <c r="C7" s="1"/>
      <c r="D7" s="1"/>
    </row>
    <row r="11" spans="1:7" x14ac:dyDescent="0.3">
      <c r="C11" t="s">
        <v>21</v>
      </c>
    </row>
    <row r="12" spans="1:7" x14ac:dyDescent="0.3">
      <c r="C12" s="2" t="s">
        <v>1</v>
      </c>
      <c r="D12" s="3" t="s">
        <v>10</v>
      </c>
    </row>
    <row r="13" spans="1:7" x14ac:dyDescent="0.3">
      <c r="C13" s="2" t="s">
        <v>23</v>
      </c>
      <c r="D13" s="4">
        <f>HLOOKUP(D12,Oursearch3,4,0)</f>
        <v>3000</v>
      </c>
    </row>
    <row r="23" spans="3:4" x14ac:dyDescent="0.3">
      <c r="C23" t="s">
        <v>22</v>
      </c>
    </row>
    <row r="24" spans="3:4" x14ac:dyDescent="0.3">
      <c r="C24" s="2" t="s">
        <v>0</v>
      </c>
      <c r="D24" s="5">
        <v>106</v>
      </c>
    </row>
    <row r="25" spans="3:4" x14ac:dyDescent="0.3">
      <c r="C25" s="2" t="s">
        <v>3</v>
      </c>
      <c r="D25" s="4" t="str">
        <f>HLOOKUP(D24,A1:G4,4,0)</f>
        <v>Food Technologist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A22-5BAE-4DC0-B329-1F38A2B001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BA66B-1D93-4171-A771-C66B463BC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employee_lookup_data</vt:lpstr>
      <vt:lpstr>Sheet1</vt:lpstr>
      <vt:lpstr>Oursearch3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Vaidya</dc:creator>
  <cp:lastModifiedBy>Manthan Vaidya</cp:lastModifiedBy>
  <dcterms:created xsi:type="dcterms:W3CDTF">2026-09-01T12:21:44Z</dcterms:created>
  <dcterms:modified xsi:type="dcterms:W3CDTF">2026-09-01T12:50:26Z</dcterms:modified>
</cp:coreProperties>
</file>