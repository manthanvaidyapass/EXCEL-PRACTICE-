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nthan\Downloads\"/>
    </mc:Choice>
  </mc:AlternateContent>
  <xr:revisionPtr revIDLastSave="0" documentId="8_{D42DC4F4-E346-4407-9CDD-7F9CEB7C5D9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escriptive stats" sheetId="1" r:id="rId1"/>
    <sheet name="Histogram" sheetId="6" r:id="rId2"/>
    <sheet name="Correlation" sheetId="8" r:id="rId3"/>
    <sheet name="Sampling" sheetId="10" r:id="rId4"/>
    <sheet name="Regression" sheetId="11" r:id="rId5"/>
  </sheets>
  <definedNames>
    <definedName name="ExternalData_1" localSheetId="2" hidden="1">Correlation!$A$1:$C$8</definedName>
    <definedName name="ExternalData_1" localSheetId="4" hidden="1">Regression!$A$1:$C$8</definedName>
    <definedName name="ExternalData_1" localSheetId="3" hidden="1">Sampling!$A$1:$C$8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8" l="1"/>
  <c r="K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78F916-C096-419F-829A-D28E6C84060D}" keepAlive="1" name="Query - Descriptive stats" description="Connection to the 'Descriptive stats' query in the workbook." type="5" refreshedVersion="8" background="1" saveData="1">
    <dbPr connection="Provider=Microsoft.Mashup.OleDb.1;Data Source=$Workbook$;Location=&quot;Descriptive stats&quot;;Extended Properties=&quot;&quot;" command="SELECT * FROM [Descriptive stats]"/>
  </connection>
  <connection id="2" xr16:uid="{742892BE-6FD7-4F30-B81E-BEA9CDC23ADE}" keepAlive="1" name="Query - Descriptive stats (2)" description="Connection to the 'Descriptive stats (2)' query in the workbook." type="5" refreshedVersion="8" background="1" saveData="1">
    <dbPr connection="Provider=Microsoft.Mashup.OleDb.1;Data Source=$Workbook$;Location=&quot;Descriptive stats (2)&quot;;Extended Properties=&quot;&quot;" command="SELECT * FROM [Descriptive stats (2)]"/>
  </connection>
  <connection id="3" xr16:uid="{8B809575-2D98-41D3-920C-A642FC25BEF5}" keepAlive="1" name="Query - Descriptive stats (3)" description="Connection to the 'Descriptive stats (3)' query in the workbook." type="5" refreshedVersion="8" background="1" saveData="1">
    <dbPr connection="Provider=Microsoft.Mashup.OleDb.1;Data Source=$Workbook$;Location=&quot;Descriptive stats (3)&quot;;Extended Properties=&quot;&quot;" command="SELECT * FROM [Descriptive stats (3)]"/>
  </connection>
</connections>
</file>

<file path=xl/sharedStrings.xml><?xml version="1.0" encoding="utf-8"?>
<sst xmlns="http://schemas.openxmlformats.org/spreadsheetml/2006/main" count="107" uniqueCount="54">
  <si>
    <t>Temperature</t>
  </si>
  <si>
    <t>Price of ice cream</t>
  </si>
  <si>
    <t>Units sold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</si>
  <si>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</si>
  <si>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</si>
  <si>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</si>
  <si>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</si>
  <si>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</si>
  <si>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</si>
  <si>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</si>
  <si>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</si>
  <si>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</si>
  <si>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</si>
  <si>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</si>
  <si>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</si>
  <si>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</si>
  <si>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Price of Ice Cream</t>
  </si>
  <si>
    <t>Bins</t>
  </si>
  <si>
    <t>More</t>
  </si>
  <si>
    <t>Frequency</t>
  </si>
  <si>
    <t>Correlation of temp and Units Sold</t>
  </si>
  <si>
    <t>Correlation of temp and Price Of Ice Cream</t>
  </si>
  <si>
    <t>Correlation Of the temp,price of icream ,Unit sold:</t>
  </si>
  <si>
    <t>Periodic Sampling</t>
  </si>
  <si>
    <t>Random Sampling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</si>
  <si>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</si>
  <si>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</si>
  <si>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</si>
  <si>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</si>
  <si>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</si>
  <si>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</si>
  <si>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</si>
  <si>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</si>
  <si>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</si>
  <si>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</si>
  <si>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</si>
  <si>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</si>
  <si>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</si>
  <si>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</si>
  <si>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</si>
  <si>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</si>
  <si>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</si>
  <si>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</si>
  <si>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</si>
  <si>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</si>
  <si>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</si>
  <si>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</si>
  <si>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</si>
  <si>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</si>
  <si>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</si>
  <si>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Units sold</t>
  </si>
  <si>
    <t>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</si>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</sst>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8" x14ac:knownFonts="1">
    <font>
      <sz val="11"/>
      <color theme="1"/>
      <name val="Calibri"/>
      <family val="2"/>
      <scheme val="minor"/>
    </font>
    <font>
      <b/>
      <sz val="11"/>
      <color rgb="FF1F497D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D9D9D9"/>
      </right>
      <top style="medium">
        <color indexed="64"/>
      </top>
      <bottom style="thin">
        <color indexed="64"/>
      </bottom>
      <diagonal/>
    </border>
    <border>
      <left style="thin">
        <color rgb="FFD9D9D9"/>
      </left>
      <right/>
      <top style="medium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thick">
        <color theme="4"/>
      </bottom>
      <diagonal/>
    </border>
  </borders>
  <cellStyleXfs count="9">
    <xf numFmtId="0" fontId="0" fillId="0" borderId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7" fillId="0" borderId="7" applyNumberFormat="0" applyFill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</cellStyleXfs>
  <cellXfs count="25">
    <xf numFmtId="0" fontId="0" fillId="0" borderId="0" xfId="0"/>
    <xf numFmtId="0" fontId="1" fillId="0" borderId="0" xfId="0" applyFont="1"/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/>
    <xf numFmtId="4" fontId="2" fillId="0" borderId="1" xfId="0" applyNumberFormat="1" applyFont="1" applyBorder="1" applyAlignment="1">
      <alignment horizontal="right" vertical="center"/>
    </xf>
    <xf numFmtId="0" fontId="4" fillId="6" borderId="0" xfId="4" applyAlignment="1">
      <alignment horizontal="center" vertical="center"/>
    </xf>
    <xf numFmtId="0" fontId="0" fillId="0" borderId="2" xfId="0" applyBorder="1"/>
    <xf numFmtId="0" fontId="6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5" borderId="3" xfId="3" applyBorder="1" applyAlignment="1">
      <alignment horizontal="centerContinuous"/>
    </xf>
    <xf numFmtId="3" fontId="2" fillId="0" borderId="6" xfId="0" applyNumberFormat="1" applyFont="1" applyBorder="1" applyAlignment="1">
      <alignment horizontal="right" vertical="center"/>
    </xf>
    <xf numFmtId="0" fontId="5" fillId="3" borderId="0" xfId="1"/>
    <xf numFmtId="0" fontId="4" fillId="4" borderId="0" xfId="2"/>
    <xf numFmtId="0" fontId="4" fillId="8" borderId="0" xfId="7"/>
    <xf numFmtId="0" fontId="4" fillId="9" borderId="0" xfId="8"/>
    <xf numFmtId="0" fontId="7" fillId="0" borderId="7" xfId="5"/>
    <xf numFmtId="0" fontId="4" fillId="7" borderId="0" xfId="6"/>
    <xf numFmtId="0" fontId="4" fillId="5" borderId="3" xfId="3" applyBorder="1" applyAlignment="1">
      <alignment horizontal="center"/>
    </xf>
    <xf numFmtId="0" fontId="4" fillId="5" borderId="4" xfId="3" applyBorder="1" applyAlignment="1">
      <alignment horizontal="center"/>
    </xf>
    <xf numFmtId="0" fontId="4" fillId="5" borderId="5" xfId="3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Continuous"/>
    </xf>
  </cellXfs>
  <cellStyles count="9">
    <cellStyle name="20% - Accent1" xfId="6" builtinId="30"/>
    <cellStyle name="20% - Accent2" xfId="7" builtinId="34"/>
    <cellStyle name="40% - Accent2" xfId="3" builtinId="35"/>
    <cellStyle name="60% - Accent1" xfId="2" builtinId="32"/>
    <cellStyle name="60% - Accent2" xfId="4" builtinId="36"/>
    <cellStyle name="60% - Accent3" xfId="8" builtinId="40"/>
    <cellStyle name="Heading 1" xfId="5" builtinId="16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Histogram!$G$5:$G$9</c:f>
              <c:strCache>
                <c:ptCount val="5"/>
                <c:pt idx="0">
                  <c:v>40</c:v>
                </c:pt>
                <c:pt idx="1">
                  <c:v>30</c:v>
                </c:pt>
                <c:pt idx="2">
                  <c:v>50</c:v>
                </c:pt>
                <c:pt idx="3">
                  <c:v>20</c:v>
                </c:pt>
                <c:pt idx="4">
                  <c:v>More</c:v>
                </c:pt>
              </c:strCache>
            </c:strRef>
          </c:cat>
          <c:val>
            <c:numRef>
              <c:f>Histogram!$H$5:$H$9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B0-426C-B496-3CDC04214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8332287"/>
        <c:axId val="1248334207"/>
      </c:barChart>
      <c:catAx>
        <c:axId val="1248332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8334207"/>
        <c:crosses val="autoZero"/>
        <c:auto val="1"/>
        <c:lblAlgn val="ctr"/>
        <c:lblOffset val="100"/>
        <c:noMultiLvlLbl val="0"/>
      </c:catAx>
      <c:valAx>
        <c:axId val="12483342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83322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</a:t>
            </a:r>
            <a:r>
              <a:rPr lang="en-US" baseline="0"/>
              <a:t> Plot of dependent vs ind Variables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5.8612540750841907E-2"/>
          <c:y val="4.66562986003110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Regression!$C$1</c:f>
              <c:strCache>
                <c:ptCount val="1"/>
                <c:pt idx="0">
                  <c:v>Units sold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06097987751531"/>
                  <c:y val="-0.136675780110819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multiLvlStrRef>
              <c:f>Regression!$A$2:$B$8</c:f>
              <c:multiLvlStrCache>
                <c:ptCount val="7"/>
                <c:lvl>
                  <c:pt idx="0">
                    <c:v>10</c:v>
                  </c:pt>
                  <c:pt idx="1">
                    <c:v>20</c:v>
                  </c:pt>
                  <c:pt idx="2">
                    <c:v>25</c:v>
                  </c:pt>
                  <c:pt idx="3">
                    <c:v>30</c:v>
                  </c:pt>
                  <c:pt idx="4">
                    <c:v>35</c:v>
                  </c:pt>
                  <c:pt idx="5">
                    <c:v>50</c:v>
                  </c:pt>
                  <c:pt idx="6">
                    <c:v>60</c:v>
                  </c:pt>
                </c:lvl>
                <c:lvl>
                  <c:pt idx="0">
                    <c:v>20</c:v>
                  </c:pt>
                  <c:pt idx="1">
                    <c:v>26</c:v>
                  </c:pt>
                  <c:pt idx="2">
                    <c:v>30</c:v>
                  </c:pt>
                  <c:pt idx="3">
                    <c:v>35</c:v>
                  </c:pt>
                  <c:pt idx="4">
                    <c:v>38</c:v>
                  </c:pt>
                  <c:pt idx="5">
                    <c:v>40</c:v>
                  </c:pt>
                  <c:pt idx="6">
                    <c:v>45</c:v>
                  </c:pt>
                </c:lvl>
              </c:multiLvlStrCache>
            </c:multiLvlStrRef>
          </c:xVal>
          <c:yVal>
            <c:numRef>
              <c:f>Regression!$C$2:$C$8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20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D7-4318-BEA6-694443E74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766495"/>
        <c:axId val="1200782815"/>
      </c:scatterChart>
      <c:valAx>
        <c:axId val="12007664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782815"/>
        <c:crosses val="autoZero"/>
        <c:crossBetween val="midCat"/>
      </c:valAx>
      <c:valAx>
        <c:axId val="120078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766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Temperature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Units sold</c:v>
          </c:tx>
          <c:spPr>
            <a:ln w="28575">
              <a:noFill/>
            </a:ln>
          </c:spPr>
          <c:xVal>
            <c:numRef>
              <c:f>Regression!$A$2:$A$8</c:f>
              <c:numCache>
                <c:formatCode>General</c:formatCode>
                <c:ptCount val="7"/>
                <c:pt idx="0">
                  <c:v>20</c:v>
                </c:pt>
                <c:pt idx="1">
                  <c:v>26</c:v>
                </c:pt>
                <c:pt idx="2">
                  <c:v>30</c:v>
                </c:pt>
                <c:pt idx="3">
                  <c:v>35</c:v>
                </c:pt>
                <c:pt idx="4">
                  <c:v>38</c:v>
                </c:pt>
                <c:pt idx="5">
                  <c:v>40</c:v>
                </c:pt>
                <c:pt idx="6">
                  <c:v>45</c:v>
                </c:pt>
              </c:numCache>
            </c:numRef>
          </c:xVal>
          <c:yVal>
            <c:numRef>
              <c:f>Regression!$C$2:$C$8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20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F3-473D-9D43-53D7E3AEA6ED}"/>
            </c:ext>
          </c:extLst>
        </c:ser>
        <c:ser>
          <c:idx val="1"/>
          <c:order val="1"/>
          <c:tx>
            <c:v>Predicted Units sold</c:v>
          </c:tx>
          <c:spPr>
            <a:ln w="28575">
              <a:noFill/>
            </a:ln>
          </c:spPr>
          <c:xVal>
            <c:numRef>
              <c:f>Regression!$A$2:$A$8</c:f>
              <c:numCache>
                <c:formatCode>General</c:formatCode>
                <c:ptCount val="7"/>
                <c:pt idx="0">
                  <c:v>20</c:v>
                </c:pt>
                <c:pt idx="1">
                  <c:v>26</c:v>
                </c:pt>
                <c:pt idx="2">
                  <c:v>30</c:v>
                </c:pt>
                <c:pt idx="3">
                  <c:v>35</c:v>
                </c:pt>
                <c:pt idx="4">
                  <c:v>38</c:v>
                </c:pt>
                <c:pt idx="5">
                  <c:v>40</c:v>
                </c:pt>
                <c:pt idx="6">
                  <c:v>45</c:v>
                </c:pt>
              </c:numCache>
            </c:numRef>
          </c:xVal>
          <c:yVal>
            <c:numRef>
              <c:f>Regression!$H$28:$H$34</c:f>
              <c:numCache>
                <c:formatCode>General</c:formatCode>
                <c:ptCount val="7"/>
                <c:pt idx="0">
                  <c:v>11.209472196041469</c:v>
                </c:pt>
                <c:pt idx="1">
                  <c:v>13.507775683317618</c:v>
                </c:pt>
                <c:pt idx="2">
                  <c:v>16.276508011310082</c:v>
                </c:pt>
                <c:pt idx="3">
                  <c:v>20.664820923656929</c:v>
                </c:pt>
                <c:pt idx="4">
                  <c:v>21.813972667294998</c:v>
                </c:pt>
                <c:pt idx="5">
                  <c:v>13.924363807728547</c:v>
                </c:pt>
                <c:pt idx="6">
                  <c:v>14.603086710650324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F3-473D-9D43-53D7E3AEA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760735"/>
        <c:axId val="1200770815"/>
      </c:scatterChart>
      <c:valAx>
        <c:axId val="1200760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Temperature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770815"/>
        <c:crosses val="autoZero"/>
        <c:crossBetween val="midCat"/>
      </c:valAx>
      <c:valAx>
        <c:axId val="120077081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7607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Price of ice cream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Units sold</c:v>
          </c:tx>
          <c:spPr>
            <a:ln w="28575">
              <a:noFill/>
            </a:ln>
          </c:spPr>
          <c:xVal>
            <c:numRef>
              <c:f>Regression!$B$2:$B$8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Regression!$C$2:$C$8</c:f>
              <c:numCache>
                <c:formatCode>General</c:formatCode>
                <c:ptCount val="7"/>
                <c:pt idx="0">
                  <c:v>12</c:v>
                </c:pt>
                <c:pt idx="1">
                  <c:v>15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20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5-41CA-8309-FD360FEAA977}"/>
            </c:ext>
          </c:extLst>
        </c:ser>
        <c:ser>
          <c:idx val="1"/>
          <c:order val="1"/>
          <c:tx>
            <c:v>Predicted Units sold</c:v>
          </c:tx>
          <c:spPr>
            <a:ln w="28575">
              <a:noFill/>
            </a:ln>
          </c:spPr>
          <c:xVal>
            <c:numRef>
              <c:f>Regression!$B$2:$B$8</c:f>
              <c:numCache>
                <c:formatCode>General</c:formatCode>
                <c:ptCount val="7"/>
                <c:pt idx="0">
                  <c:v>10</c:v>
                </c:pt>
                <c:pt idx="1">
                  <c:v>20</c:v>
                </c:pt>
                <c:pt idx="2">
                  <c:v>25</c:v>
                </c:pt>
                <c:pt idx="3">
                  <c:v>30</c:v>
                </c:pt>
                <c:pt idx="4">
                  <c:v>35</c:v>
                </c:pt>
                <c:pt idx="5">
                  <c:v>50</c:v>
                </c:pt>
                <c:pt idx="6">
                  <c:v>60</c:v>
                </c:pt>
              </c:numCache>
            </c:numRef>
          </c:xVal>
          <c:yVal>
            <c:numRef>
              <c:f>Regression!$H$28:$H$34</c:f>
              <c:numCache>
                <c:formatCode>General</c:formatCode>
                <c:ptCount val="7"/>
                <c:pt idx="0">
                  <c:v>11.209472196041469</c:v>
                </c:pt>
                <c:pt idx="1">
                  <c:v>13.507775683317618</c:v>
                </c:pt>
                <c:pt idx="2">
                  <c:v>16.276508011310082</c:v>
                </c:pt>
                <c:pt idx="3">
                  <c:v>20.664820923656929</c:v>
                </c:pt>
                <c:pt idx="4">
                  <c:v>21.813972667294998</c:v>
                </c:pt>
                <c:pt idx="5">
                  <c:v>13.924363807728547</c:v>
                </c:pt>
                <c:pt idx="6">
                  <c:v>14.603086710650324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75-41CA-8309-FD360FEAA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761215"/>
        <c:axId val="1200762175"/>
      </c:scatterChart>
      <c:valAx>
        <c:axId val="1200761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Price of ice cream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762175"/>
        <c:crosses val="autoZero"/>
        <c:crossBetween val="midCat"/>
      </c:valAx>
      <c:valAx>
        <c:axId val="12007621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76121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Regression!$K$28:$K$34</c:f>
              <c:numCache>
                <c:formatCode>General</c:formatCode>
                <c:ptCount val="7"/>
                <c:pt idx="0">
                  <c:v>7.1428571428571432</c:v>
                </c:pt>
                <c:pt idx="1">
                  <c:v>21.428571428571431</c:v>
                </c:pt>
                <c:pt idx="2">
                  <c:v>35.714285714285715</c:v>
                </c:pt>
                <c:pt idx="3">
                  <c:v>50.000000000000007</c:v>
                </c:pt>
                <c:pt idx="4">
                  <c:v>64.285714285714292</c:v>
                </c:pt>
                <c:pt idx="5">
                  <c:v>78.571428571428569</c:v>
                </c:pt>
                <c:pt idx="6">
                  <c:v>92.857142857142861</c:v>
                </c:pt>
              </c:numCache>
            </c:numRef>
          </c:xVal>
          <c:yVal>
            <c:numRef>
              <c:f>Regression!$L$28:$L$34</c:f>
              <c:numCache>
                <c:formatCode>General</c:formatCode>
                <c:ptCount val="7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  <c:pt idx="5">
                  <c:v>20</c:v>
                </c:pt>
                <c:pt idx="6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2E-4E48-8CF2-18F0BADA8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780895"/>
        <c:axId val="1200788095"/>
      </c:scatterChart>
      <c:valAx>
        <c:axId val="1200780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788095"/>
        <c:crosses val="autoZero"/>
        <c:crossBetween val="midCat"/>
      </c:valAx>
      <c:valAx>
        <c:axId val="1200788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Units sold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078089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3</xdr:row>
      <xdr:rowOff>175260</xdr:rowOff>
    </xdr:from>
    <xdr:to>
      <xdr:col>15</xdr:col>
      <xdr:colOff>251460</xdr:colOff>
      <xdr:row>13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0139E-A8C9-0444-4233-CA03C9662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9</xdr:row>
      <xdr:rowOff>72390</xdr:rowOff>
    </xdr:from>
    <xdr:to>
      <xdr:col>4</xdr:col>
      <xdr:colOff>518160</xdr:colOff>
      <xdr:row>22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DE8ED9-985B-2947-B84B-12D9DED4D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95152</xdr:colOff>
      <xdr:row>0</xdr:row>
      <xdr:rowOff>165491</xdr:rowOff>
    </xdr:from>
    <xdr:to>
      <xdr:col>25</xdr:col>
      <xdr:colOff>95152</xdr:colOff>
      <xdr:row>10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BF7451-8A07-E2E8-B8C9-4E9BFEF43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192845</xdr:colOff>
      <xdr:row>23</xdr:row>
      <xdr:rowOff>97107</xdr:rowOff>
    </xdr:from>
    <xdr:to>
      <xdr:col>25</xdr:col>
      <xdr:colOff>192845</xdr:colOff>
      <xdr:row>33</xdr:row>
      <xdr:rowOff>106876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4FDA59-F23D-D0C6-DF3E-800DA0A4E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202614</xdr:colOff>
      <xdr:row>11</xdr:row>
      <xdr:rowOff>194798</xdr:rowOff>
    </xdr:from>
    <xdr:to>
      <xdr:col>25</xdr:col>
      <xdr:colOff>202614</xdr:colOff>
      <xdr:row>21</xdr:row>
      <xdr:rowOff>185029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2E3EF5-93C4-C88F-A62D-CABF4700B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42DAED-937B-4FA4-846C-F78EEB4E25F1}" autoFormatId="16" applyNumberFormats="0" applyBorderFormats="0" applyFontFormats="0" applyPatternFormats="0" applyAlignmentFormats="0" applyWidthHeightFormats="0">
  <queryTableRefresh nextId="9">
    <queryTableFields count="3">
      <queryTableField id="1" name="Temperature" tableColumnId="1"/>
      <queryTableField id="2" name="Price of ice cream" tableColumnId="2"/>
      <queryTableField id="3" name="Units sold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EACB578-CC07-4D62-978B-4FE7A456A0D9}" autoFormatId="16" applyNumberFormats="0" applyBorderFormats="0" applyFontFormats="0" applyPatternFormats="0" applyAlignmentFormats="0" applyWidthHeightFormats="0">
  <queryTableRefresh nextId="9">
    <queryTableFields count="3">
      <queryTableField id="1" name="Temperature" tableColumnId="1"/>
      <queryTableField id="2" name="Price of ice cream" tableColumnId="2"/>
      <queryTableField id="3" name="Units sold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83EEDF2-786E-45BF-975C-D066CCDB9A0A}" autoFormatId="16" applyNumberFormats="0" applyBorderFormats="0" applyFontFormats="0" applyPatternFormats="0" applyAlignmentFormats="0" applyWidthHeightFormats="0">
  <queryTableRefresh nextId="9">
    <queryTableFields count="3">
      <queryTableField id="1" name="Temperature" tableColumnId="1"/>
      <queryTableField id="2" name="Price of ice cream" tableColumnId="2"/>
      <queryTableField id="3" name="Units sold" tableColumnId="3"/>
    </queryTableFields>
    <queryTableDeletedFields count="5">
      <deletedField name="Column4"/>
      <deletedField name="Column5"/>
      <deletedField name="Column6"/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58FA3-65FE-4AF3-A177-030AA5972DA2}" name="Descriptive_stats" displayName="Descriptive_stats" ref="A1:C8" tableType="queryTable" totalsRowShown="0" headerRowCellStyle="60% - Accent1">
  <autoFilter ref="A1:C8" xr:uid="{CC758FA3-65FE-4AF3-A177-030AA5972DA2}"/>
  <tableColumns count="3">
    <tableColumn id="1" xr3:uid="{2DA25570-F08C-4605-82A3-E5F033A9F9AE}" uniqueName="1" name="Temperature" queryTableFieldId="1"/>
    <tableColumn id="2" xr3:uid="{73D73D20-705C-493B-B647-905D2F8C5315}" uniqueName="2" name="Price of ice cream" queryTableFieldId="2"/>
    <tableColumn id="3" xr3:uid="{383BD585-EFAC-4CD4-9F95-66489ABD591C}" uniqueName="3" name="Units sold" queryTableFieldId="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CE003C-A7C5-41CC-8F25-5FBC5D2C7BF2}" name="Descriptive_stats__2" displayName="Descriptive_stats__2" ref="A1:C8" tableType="queryTable" totalsRowShown="0">
  <autoFilter ref="A1:C8" xr:uid="{92CE003C-A7C5-41CC-8F25-5FBC5D2C7BF2}"/>
  <tableColumns count="3">
    <tableColumn id="1" xr3:uid="{AE6A67CB-A569-4E20-A3F0-D02EF8FF682C}" uniqueName="1" name="Temperature" queryTableFieldId="1"/>
    <tableColumn id="2" xr3:uid="{FF33B68C-6100-4B33-BD5E-7AF1CB70DBCF}" uniqueName="2" name="Price of ice cream" queryTableFieldId="2"/>
    <tableColumn id="3" xr3:uid="{1DC9DE71-E458-4A9A-92F3-937BA3A98DCC}" uniqueName="3" name="Units sold" queryTableFieldId="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BB7F3D-2BCA-4021-8C22-4F7EF453498A}" name="Descriptive_stats__3" displayName="Descriptive_stats__3" ref="A1:C8" tableType="queryTable" totalsRowShown="0">
  <autoFilter ref="A1:C8" xr:uid="{F2BB7F3D-2BCA-4021-8C22-4F7EF453498A}"/>
  <tableColumns count="3">
    <tableColumn id="1" xr3:uid="{3C35390E-3AB0-4D4E-B249-DA448CDC9E5E}" uniqueName="1" name="Temperature" queryTableFieldId="1"/>
    <tableColumn id="2" xr3:uid="{CA1956B2-9D09-4A37-B6A0-5A2DB523056E}" uniqueName="2" name="Price of ice cream" queryTableFieldId="2"/>
    <tableColumn id="3" xr3:uid="{F7B2F0A6-07FC-4068-934B-D0A9BAF754C0}" uniqueName="3" name="Units sold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sqref="A1:A8"/>
    </sheetView>
  </sheetViews>
  <sheetFormatPr defaultRowHeight="14.4" x14ac:dyDescent="0.3"/>
  <cols>
    <col min="1" max="1" width="15" customWidth="1"/>
    <col min="2" max="2" width="22" customWidth="1"/>
    <col min="3" max="3" width="14" customWidth="1"/>
    <col min="4" max="4" width="12" customWidth="1"/>
    <col min="5" max="5" width="16.77734375" customWidth="1"/>
    <col min="6" max="6" width="15.44140625" customWidth="1"/>
    <col min="7" max="7" width="17.109375" customWidth="1"/>
    <col min="8" max="8" width="14.77734375" customWidth="1"/>
    <col min="9" max="9" width="16.88671875" customWidth="1"/>
    <col min="10" max="10" width="15.88671875" customWidth="1"/>
  </cols>
  <sheetData>
    <row r="1" spans="1:10" ht="16.8" x14ac:dyDescent="0.4">
      <c r="A1" s="6" t="s">
        <v>0</v>
      </c>
      <c r="B1" s="6" t="s">
        <v>1</v>
      </c>
      <c r="C1" s="6" t="s">
        <v>2</v>
      </c>
      <c r="E1" s="1"/>
    </row>
    <row r="2" spans="1:10" ht="15" x14ac:dyDescent="0.3">
      <c r="A2" s="2">
        <v>20</v>
      </c>
      <c r="B2" s="3">
        <v>10</v>
      </c>
      <c r="C2" s="2">
        <v>12</v>
      </c>
    </row>
    <row r="3" spans="1:10" ht="15.6" thickBot="1" x14ac:dyDescent="0.4">
      <c r="A3" s="2">
        <v>26</v>
      </c>
      <c r="B3" s="3">
        <v>20</v>
      </c>
      <c r="C3" s="2">
        <v>15</v>
      </c>
      <c r="E3" s="4"/>
      <c r="F3" s="5"/>
      <c r="G3" s="3"/>
      <c r="H3" s="5"/>
    </row>
    <row r="4" spans="1:10" ht="15" x14ac:dyDescent="0.3">
      <c r="A4" s="2">
        <v>30</v>
      </c>
      <c r="B4" s="3">
        <v>25</v>
      </c>
      <c r="C4" s="2">
        <v>10</v>
      </c>
      <c r="E4" s="18" t="s">
        <v>0</v>
      </c>
      <c r="F4" s="19"/>
      <c r="G4" s="20" t="s">
        <v>16</v>
      </c>
      <c r="H4" s="18"/>
      <c r="I4" s="10" t="s">
        <v>2</v>
      </c>
      <c r="J4" s="10"/>
    </row>
    <row r="5" spans="1:10" ht="15" x14ac:dyDescent="0.3">
      <c r="A5" s="2">
        <v>35</v>
      </c>
      <c r="B5" s="3">
        <v>30</v>
      </c>
      <c r="C5" s="2">
        <v>20</v>
      </c>
      <c r="E5" s="9"/>
    </row>
    <row r="6" spans="1:10" ht="15" x14ac:dyDescent="0.3">
      <c r="A6" s="2">
        <v>38</v>
      </c>
      <c r="B6" s="3">
        <v>35</v>
      </c>
      <c r="C6" s="2">
        <v>25</v>
      </c>
      <c r="E6" t="s">
        <v>3</v>
      </c>
      <c r="F6">
        <v>33.428571428571431</v>
      </c>
      <c r="G6" t="s">
        <v>3</v>
      </c>
      <c r="H6">
        <v>32.857142857142854</v>
      </c>
      <c r="I6" t="s">
        <v>3</v>
      </c>
      <c r="J6">
        <v>16</v>
      </c>
    </row>
    <row r="7" spans="1:10" ht="15" x14ac:dyDescent="0.3">
      <c r="A7" s="2">
        <v>40</v>
      </c>
      <c r="B7" s="3">
        <v>50</v>
      </c>
      <c r="C7" s="2">
        <v>20</v>
      </c>
      <c r="E7" t="s">
        <v>4</v>
      </c>
      <c r="F7">
        <v>3.2649447078898928</v>
      </c>
      <c r="G7" t="s">
        <v>4</v>
      </c>
      <c r="H7">
        <v>6.5335346352439254</v>
      </c>
      <c r="I7" t="s">
        <v>4</v>
      </c>
      <c r="J7">
        <v>2.193062655175134</v>
      </c>
    </row>
    <row r="8" spans="1:10" ht="15" x14ac:dyDescent="0.3">
      <c r="A8" s="2">
        <v>45</v>
      </c>
      <c r="B8" s="3">
        <v>60</v>
      </c>
      <c r="C8" s="2">
        <v>10</v>
      </c>
      <c r="E8" t="s">
        <v>5</v>
      </c>
      <c r="F8">
        <v>35</v>
      </c>
      <c r="G8" t="s">
        <v>5</v>
      </c>
      <c r="H8">
        <v>30</v>
      </c>
      <c r="I8" t="s">
        <v>5</v>
      </c>
      <c r="J8">
        <v>15</v>
      </c>
    </row>
    <row r="9" spans="1:10" ht="15" x14ac:dyDescent="0.3">
      <c r="A9" s="2"/>
      <c r="B9" s="3"/>
      <c r="C9" s="2"/>
      <c r="E9" t="s">
        <v>6</v>
      </c>
      <c r="F9" t="e">
        <v>#N/A</v>
      </c>
      <c r="G9" t="s">
        <v>6</v>
      </c>
      <c r="H9" t="e">
        <v>#N/A</v>
      </c>
      <c r="I9" t="s">
        <v>6</v>
      </c>
      <c r="J9">
        <v>10</v>
      </c>
    </row>
    <row r="10" spans="1:10" x14ac:dyDescent="0.3">
      <c r="E10" t="s">
        <v>7</v>
      </c>
      <c r="F10">
        <v>8.6382317414530814</v>
      </c>
      <c r="G10" t="s">
        <v>7</v>
      </c>
      <c r="H10">
        <v>17.286107827082528</v>
      </c>
      <c r="I10" t="s">
        <v>7</v>
      </c>
      <c r="J10">
        <v>5.8022983951764031</v>
      </c>
    </row>
    <row r="11" spans="1:10" x14ac:dyDescent="0.3">
      <c r="E11" t="s">
        <v>8</v>
      </c>
      <c r="F11">
        <v>74.619047619047549</v>
      </c>
      <c r="G11" t="s">
        <v>8</v>
      </c>
      <c r="H11">
        <v>298.80952380952385</v>
      </c>
      <c r="I11" t="s">
        <v>8</v>
      </c>
      <c r="J11">
        <v>33.666666666666664</v>
      </c>
    </row>
    <row r="12" spans="1:10" x14ac:dyDescent="0.3">
      <c r="E12" t="s">
        <v>9</v>
      </c>
      <c r="F12">
        <v>-0.71176250433213184</v>
      </c>
      <c r="G12" t="s">
        <v>9</v>
      </c>
      <c r="H12">
        <v>-0.52192504880875035</v>
      </c>
      <c r="I12" t="s">
        <v>9</v>
      </c>
      <c r="J12">
        <v>-1.3148710910695041</v>
      </c>
    </row>
    <row r="13" spans="1:10" x14ac:dyDescent="0.3">
      <c r="E13" t="s">
        <v>10</v>
      </c>
      <c r="F13">
        <v>-0.33997952829660882</v>
      </c>
      <c r="G13" t="s">
        <v>10</v>
      </c>
      <c r="H13">
        <v>0.47294040315845209</v>
      </c>
      <c r="I13" t="s">
        <v>10</v>
      </c>
      <c r="J13">
        <v>0.43001054668692879</v>
      </c>
    </row>
    <row r="14" spans="1:10" x14ac:dyDescent="0.3">
      <c r="E14" t="s">
        <v>11</v>
      </c>
      <c r="F14">
        <v>25</v>
      </c>
      <c r="G14" t="s">
        <v>11</v>
      </c>
      <c r="H14">
        <v>50</v>
      </c>
      <c r="I14" t="s">
        <v>11</v>
      </c>
      <c r="J14">
        <v>15</v>
      </c>
    </row>
    <row r="15" spans="1:10" x14ac:dyDescent="0.3">
      <c r="E15" t="s">
        <v>12</v>
      </c>
      <c r="F15">
        <v>20</v>
      </c>
      <c r="G15" t="s">
        <v>12</v>
      </c>
      <c r="H15">
        <v>10</v>
      </c>
      <c r="I15" t="s">
        <v>12</v>
      </c>
      <c r="J15">
        <v>10</v>
      </c>
    </row>
    <row r="16" spans="1:10" x14ac:dyDescent="0.3">
      <c r="E16" t="s">
        <v>13</v>
      </c>
      <c r="F16">
        <v>45</v>
      </c>
      <c r="G16" t="s">
        <v>13</v>
      </c>
      <c r="H16">
        <v>60</v>
      </c>
      <c r="I16" t="s">
        <v>13</v>
      </c>
      <c r="J16">
        <v>25</v>
      </c>
    </row>
    <row r="17" spans="5:10" x14ac:dyDescent="0.3">
      <c r="E17" t="s">
        <v>14</v>
      </c>
      <c r="F17">
        <v>234</v>
      </c>
      <c r="G17" t="s">
        <v>14</v>
      </c>
      <c r="H17">
        <v>230</v>
      </c>
      <c r="I17" t="s">
        <v>14</v>
      </c>
      <c r="J17">
        <v>112</v>
      </c>
    </row>
    <row r="18" spans="5:10" ht="15" thickBot="1" x14ac:dyDescent="0.35">
      <c r="E18" s="7" t="s">
        <v>15</v>
      </c>
      <c r="F18" s="7">
        <v>7</v>
      </c>
      <c r="G18" s="7" t="s">
        <v>15</v>
      </c>
      <c r="H18" s="7">
        <v>7</v>
      </c>
      <c r="I18" s="7" t="s">
        <v>15</v>
      </c>
      <c r="J18" s="7">
        <v>7</v>
      </c>
    </row>
  </sheetData>
  <sortState xmlns:xlrd2="http://schemas.microsoft.com/office/spreadsheetml/2017/richdata2" ref="A3:C9">
    <sortCondition ref="A1:A9"/>
  </sortState>
  <mergeCells count="2">
    <mergeCell ref="E4:F4"/>
    <mergeCell ref="G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C776-6CE5-4305-AD98-4839C0192C6C}">
  <dimension ref="A1:H14"/>
  <sheetViews>
    <sheetView workbookViewId="0">
      <selection activeCell="M19" sqref="M19"/>
    </sheetView>
  </sheetViews>
  <sheetFormatPr defaultRowHeight="14.4" x14ac:dyDescent="0.3"/>
  <cols>
    <col min="1" max="1" width="12.88671875" customWidth="1"/>
  </cols>
  <sheetData>
    <row r="1" spans="1:8" x14ac:dyDescent="0.3">
      <c r="A1" s="6" t="s">
        <v>0</v>
      </c>
    </row>
    <row r="2" spans="1:8" ht="15" x14ac:dyDescent="0.3">
      <c r="A2" s="2">
        <v>20</v>
      </c>
    </row>
    <row r="3" spans="1:8" ht="15.6" thickBot="1" x14ac:dyDescent="0.35">
      <c r="A3" s="2">
        <v>26</v>
      </c>
    </row>
    <row r="4" spans="1:8" ht="15" x14ac:dyDescent="0.3">
      <c r="A4" s="2">
        <v>30</v>
      </c>
      <c r="C4" s="12" t="s">
        <v>17</v>
      </c>
      <c r="E4" s="8" t="s">
        <v>17</v>
      </c>
      <c r="F4" s="8" t="s">
        <v>19</v>
      </c>
      <c r="G4" s="8" t="s">
        <v>17</v>
      </c>
      <c r="H4" s="8" t="s">
        <v>19</v>
      </c>
    </row>
    <row r="5" spans="1:8" ht="15" x14ac:dyDescent="0.3">
      <c r="A5" s="2">
        <v>35</v>
      </c>
      <c r="C5">
        <v>20</v>
      </c>
      <c r="E5">
        <v>20</v>
      </c>
      <c r="F5">
        <v>2</v>
      </c>
      <c r="G5">
        <v>40</v>
      </c>
      <c r="H5">
        <v>5</v>
      </c>
    </row>
    <row r="6" spans="1:8" ht="15" x14ac:dyDescent="0.3">
      <c r="A6" s="2">
        <v>38</v>
      </c>
      <c r="C6">
        <v>30</v>
      </c>
      <c r="E6">
        <v>30</v>
      </c>
      <c r="F6">
        <v>3</v>
      </c>
      <c r="G6">
        <v>30</v>
      </c>
      <c r="H6">
        <v>3</v>
      </c>
    </row>
    <row r="7" spans="1:8" ht="15" x14ac:dyDescent="0.3">
      <c r="A7" s="2">
        <v>40</v>
      </c>
      <c r="C7">
        <v>40</v>
      </c>
      <c r="E7">
        <v>40</v>
      </c>
      <c r="F7">
        <v>5</v>
      </c>
      <c r="G7">
        <v>50</v>
      </c>
      <c r="H7">
        <v>3</v>
      </c>
    </row>
    <row r="8" spans="1:8" ht="15" x14ac:dyDescent="0.3">
      <c r="A8" s="2">
        <v>45</v>
      </c>
      <c r="C8">
        <v>50</v>
      </c>
      <c r="E8">
        <v>50</v>
      </c>
      <c r="F8">
        <v>3</v>
      </c>
      <c r="G8">
        <v>20</v>
      </c>
      <c r="H8">
        <v>2</v>
      </c>
    </row>
    <row r="9" spans="1:8" ht="15.6" thickBot="1" x14ac:dyDescent="0.35">
      <c r="A9" s="11">
        <v>20</v>
      </c>
      <c r="E9" s="7" t="s">
        <v>18</v>
      </c>
      <c r="F9" s="7">
        <v>0</v>
      </c>
      <c r="G9" s="7" t="s">
        <v>18</v>
      </c>
      <c r="H9" s="7">
        <v>0</v>
      </c>
    </row>
    <row r="10" spans="1:8" ht="15" x14ac:dyDescent="0.3">
      <c r="A10" s="11">
        <v>22</v>
      </c>
    </row>
    <row r="11" spans="1:8" ht="15" x14ac:dyDescent="0.3">
      <c r="A11" s="11">
        <v>34</v>
      </c>
    </row>
    <row r="12" spans="1:8" ht="15" x14ac:dyDescent="0.3">
      <c r="A12" s="11">
        <v>36</v>
      </c>
    </row>
    <row r="13" spans="1:8" ht="15" x14ac:dyDescent="0.3">
      <c r="A13" s="11">
        <v>42</v>
      </c>
    </row>
    <row r="14" spans="1:8" ht="15" x14ac:dyDescent="0.3">
      <c r="A14" s="11">
        <v>46</v>
      </c>
    </row>
  </sheetData>
  <sortState xmlns:xlrd2="http://schemas.microsoft.com/office/spreadsheetml/2017/richdata2" ref="G5:H9">
    <sortCondition descending="1" ref="H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A533-E0D1-4D6E-AA43-C6DFA4AE7E27}">
  <dimension ref="A1:L8"/>
  <sheetViews>
    <sheetView workbookViewId="0">
      <selection activeCell="H2" sqref="H2"/>
    </sheetView>
  </sheetViews>
  <sheetFormatPr defaultRowHeight="14.4" x14ac:dyDescent="0.3"/>
  <cols>
    <col min="1" max="1" width="14.109375" bestFit="1" customWidth="1"/>
    <col min="2" max="2" width="18.109375" bestFit="1" customWidth="1"/>
    <col min="3" max="3" width="11.44140625" bestFit="1" customWidth="1"/>
    <col min="4" max="4" width="10.77734375" bestFit="1" customWidth="1"/>
    <col min="5" max="5" width="15.5546875" customWidth="1"/>
    <col min="6" max="6" width="19" customWidth="1"/>
    <col min="7" max="7" width="25" customWidth="1"/>
    <col min="8" max="8" width="17.21875" customWidth="1"/>
    <col min="9" max="9" width="4.6640625" customWidth="1"/>
    <col min="10" max="10" width="36.6640625" customWidth="1"/>
    <col min="11" max="11" width="23.33203125" customWidth="1"/>
    <col min="12" max="12" width="8.88671875" hidden="1" customWidth="1"/>
    <col min="13" max="13" width="21.33203125" customWidth="1"/>
    <col min="14" max="14" width="27.109375" customWidth="1"/>
  </cols>
  <sheetData>
    <row r="1" spans="1:12" x14ac:dyDescent="0.3">
      <c r="A1" s="13" t="s">
        <v>0</v>
      </c>
      <c r="B1" s="13" t="s">
        <v>1</v>
      </c>
      <c r="C1" s="13" t="s">
        <v>2</v>
      </c>
    </row>
    <row r="2" spans="1:12" ht="20.399999999999999" thickBot="1" x14ac:dyDescent="0.45">
      <c r="A2">
        <v>20</v>
      </c>
      <c r="B2">
        <v>10</v>
      </c>
      <c r="C2">
        <v>12</v>
      </c>
      <c r="E2" s="16" t="s">
        <v>22</v>
      </c>
      <c r="F2" s="16"/>
      <c r="G2" s="16"/>
      <c r="J2" s="13" t="s">
        <v>20</v>
      </c>
      <c r="K2" s="15">
        <f>CORREL(A2:A8,C2:C8)</f>
        <v>0.28597119518312331</v>
      </c>
      <c r="L2" s="13"/>
    </row>
    <row r="3" spans="1:12" ht="15.6" thickTop="1" thickBot="1" x14ac:dyDescent="0.35">
      <c r="A3">
        <v>26</v>
      </c>
      <c r="B3">
        <v>20</v>
      </c>
      <c r="C3">
        <v>15</v>
      </c>
    </row>
    <row r="4" spans="1:12" x14ac:dyDescent="0.3">
      <c r="A4">
        <v>30</v>
      </c>
      <c r="B4">
        <v>25</v>
      </c>
      <c r="C4">
        <v>10</v>
      </c>
      <c r="E4" s="8"/>
      <c r="F4" s="8" t="s">
        <v>0</v>
      </c>
      <c r="G4" s="8" t="s">
        <v>1</v>
      </c>
      <c r="H4" s="8" t="s">
        <v>2</v>
      </c>
    </row>
    <row r="5" spans="1:12" x14ac:dyDescent="0.3">
      <c r="A5">
        <v>35</v>
      </c>
      <c r="B5">
        <v>30</v>
      </c>
      <c r="C5">
        <v>20</v>
      </c>
      <c r="E5" t="s">
        <v>0</v>
      </c>
      <c r="F5">
        <v>1</v>
      </c>
      <c r="J5" s="13" t="s">
        <v>21</v>
      </c>
      <c r="K5" s="15">
        <f>CORREL(A2:A8,B2:B8)</f>
        <v>0.96149261564738342</v>
      </c>
    </row>
    <row r="6" spans="1:12" x14ac:dyDescent="0.3">
      <c r="A6">
        <v>38</v>
      </c>
      <c r="B6">
        <v>35</v>
      </c>
      <c r="C6">
        <v>25</v>
      </c>
      <c r="E6" t="s">
        <v>1</v>
      </c>
      <c r="F6">
        <v>0.96149261564738342</v>
      </c>
      <c r="G6">
        <v>1</v>
      </c>
    </row>
    <row r="7" spans="1:12" ht="15" thickBot="1" x14ac:dyDescent="0.35">
      <c r="A7">
        <v>40</v>
      </c>
      <c r="B7">
        <v>50</v>
      </c>
      <c r="C7">
        <v>20</v>
      </c>
      <c r="E7" s="7" t="s">
        <v>2</v>
      </c>
      <c r="F7" s="7">
        <v>0.28597119518312331</v>
      </c>
      <c r="G7" s="7">
        <v>0.10801021461548703</v>
      </c>
      <c r="H7" s="7">
        <v>1</v>
      </c>
    </row>
    <row r="8" spans="1:12" x14ac:dyDescent="0.3">
      <c r="A8">
        <v>45</v>
      </c>
      <c r="B8">
        <v>60</v>
      </c>
      <c r="C8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76AF-B39E-4A2D-96CF-5B3EC35F2588}">
  <dimension ref="A1:F8"/>
  <sheetViews>
    <sheetView workbookViewId="0">
      <selection activeCell="F6" sqref="F6:F8"/>
    </sheetView>
  </sheetViews>
  <sheetFormatPr defaultRowHeight="14.4" x14ac:dyDescent="0.3"/>
  <cols>
    <col min="1" max="1" width="14.109375" bestFit="1" customWidth="1"/>
    <col min="2" max="2" width="18.109375" bestFit="1" customWidth="1"/>
    <col min="3" max="3" width="11.44140625" bestFit="1" customWidth="1"/>
    <col min="4" max="4" width="10.77734375" bestFit="1" customWidth="1"/>
    <col min="5" max="5" width="18" customWidth="1"/>
    <col min="6" max="6" width="19" customWidth="1"/>
    <col min="7" max="8" width="10.77734375" bestFit="1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>
        <v>20</v>
      </c>
      <c r="B2">
        <v>10</v>
      </c>
      <c r="C2">
        <v>12</v>
      </c>
    </row>
    <row r="3" spans="1:6" x14ac:dyDescent="0.3">
      <c r="A3">
        <v>26</v>
      </c>
      <c r="B3">
        <v>20</v>
      </c>
      <c r="C3">
        <v>15</v>
      </c>
    </row>
    <row r="4" spans="1:6" x14ac:dyDescent="0.3">
      <c r="A4">
        <v>30</v>
      </c>
      <c r="B4">
        <v>25</v>
      </c>
      <c r="C4">
        <v>10</v>
      </c>
    </row>
    <row r="5" spans="1:6" x14ac:dyDescent="0.3">
      <c r="A5">
        <v>35</v>
      </c>
      <c r="B5">
        <v>30</v>
      </c>
      <c r="C5">
        <v>20</v>
      </c>
      <c r="E5" s="17" t="s">
        <v>23</v>
      </c>
      <c r="F5" s="14" t="s">
        <v>24</v>
      </c>
    </row>
    <row r="6" spans="1:6" x14ac:dyDescent="0.3">
      <c r="A6">
        <v>38</v>
      </c>
      <c r="B6">
        <v>35</v>
      </c>
      <c r="C6">
        <v>25</v>
      </c>
      <c r="E6">
        <v>26</v>
      </c>
      <c r="F6">
        <v>38</v>
      </c>
    </row>
    <row r="7" spans="1:6" x14ac:dyDescent="0.3">
      <c r="A7">
        <v>40</v>
      </c>
      <c r="B7">
        <v>50</v>
      </c>
      <c r="C7">
        <v>20</v>
      </c>
      <c r="E7">
        <v>35</v>
      </c>
      <c r="F7">
        <v>40</v>
      </c>
    </row>
    <row r="8" spans="1:6" x14ac:dyDescent="0.3">
      <c r="A8">
        <v>45</v>
      </c>
      <c r="B8">
        <v>60</v>
      </c>
      <c r="C8">
        <v>10</v>
      </c>
      <c r="E8">
        <v>40</v>
      </c>
      <c r="F8">
        <v>30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518F-839C-4342-8C14-570FB404411D}">
  <dimension ref="A1:O34"/>
  <sheetViews>
    <sheetView tabSelected="1" topLeftCell="A6" zoomScale="78" zoomScaleNormal="78" workbookViewId="0">
      <selection activeCell="R20" sqref="R20"/>
    </sheetView>
  </sheetViews>
  <sheetFormatPr defaultRowHeight="14.4" x14ac:dyDescent="0.3"/>
  <cols>
    <col min="1" max="1" width="14.109375" bestFit="1" customWidth="1"/>
    <col min="2" max="2" width="18.109375" bestFit="1" customWidth="1"/>
    <col min="3" max="3" width="11.44140625" bestFit="1" customWidth="1"/>
    <col min="4" max="6" width="10.77734375" bestFit="1" customWidth="1"/>
    <col min="7" max="7" width="17" customWidth="1"/>
    <col min="8" max="8" width="16.33203125" customWidth="1"/>
    <col min="9" max="9" width="13.33203125" customWidth="1"/>
    <col min="10" max="10" width="14.33203125" customWidth="1"/>
    <col min="11" max="11" width="15" customWidth="1"/>
    <col min="12" max="12" width="13.44140625" customWidth="1"/>
    <col min="13" max="13" width="14" customWidth="1"/>
    <col min="14" max="14" width="16.44140625" customWidth="1"/>
    <col min="15" max="15" width="18.33203125" customWidth="1"/>
  </cols>
  <sheetData>
    <row r="1" spans="1:12" x14ac:dyDescent="0.3">
      <c r="A1" t="s">
        <v>0</v>
      </c>
      <c r="B1" t="s">
        <v>1</v>
      </c>
      <c r="C1" t="s">
        <v>2</v>
      </c>
    </row>
    <row r="2" spans="1:12" x14ac:dyDescent="0.3">
      <c r="A2">
        <v>20</v>
      </c>
      <c r="B2">
        <v>10</v>
      </c>
      <c r="C2">
        <v>12</v>
      </c>
    </row>
    <row r="3" spans="1:12" x14ac:dyDescent="0.3">
      <c r="A3">
        <v>26</v>
      </c>
      <c r="B3">
        <v>20</v>
      </c>
      <c r="C3">
        <v>15</v>
      </c>
      <c r="G3" t="s">
        <v>25</v>
      </c>
    </row>
    <row r="4" spans="1:12" ht="15" thickBot="1" x14ac:dyDescent="0.35">
      <c r="A4">
        <v>30</v>
      </c>
      <c r="B4">
        <v>25</v>
      </c>
      <c r="C4">
        <v>10</v>
      </c>
    </row>
    <row r="5" spans="1:12" x14ac:dyDescent="0.3">
      <c r="A5">
        <v>35</v>
      </c>
      <c r="B5">
        <v>30</v>
      </c>
      <c r="C5">
        <v>20</v>
      </c>
      <c r="G5" s="24" t="s">
        <v>26</v>
      </c>
      <c r="H5" s="24"/>
    </row>
    <row r="6" spans="1:12" x14ac:dyDescent="0.3">
      <c r="A6">
        <v>38</v>
      </c>
      <c r="B6">
        <v>35</v>
      </c>
      <c r="C6">
        <v>25</v>
      </c>
      <c r="G6" s="21" t="s">
        <v>27</v>
      </c>
      <c r="H6" s="21">
        <v>0.67140778703765924</v>
      </c>
    </row>
    <row r="7" spans="1:12" x14ac:dyDescent="0.3">
      <c r="A7">
        <v>40</v>
      </c>
      <c r="B7">
        <v>50</v>
      </c>
      <c r="C7">
        <v>20</v>
      </c>
      <c r="G7" s="21" t="s">
        <v>28</v>
      </c>
      <c r="H7" s="21">
        <v>0.45078841649480683</v>
      </c>
    </row>
    <row r="8" spans="1:12" x14ac:dyDescent="0.3">
      <c r="A8">
        <v>45</v>
      </c>
      <c r="B8">
        <v>60</v>
      </c>
      <c r="C8">
        <v>10</v>
      </c>
      <c r="G8" s="21" t="s">
        <v>29</v>
      </c>
      <c r="H8" s="21">
        <v>0.17618262474221025</v>
      </c>
    </row>
    <row r="9" spans="1:12" x14ac:dyDescent="0.3">
      <c r="G9" s="21" t="s">
        <v>4</v>
      </c>
      <c r="H9" s="21">
        <v>5.2664205079932858</v>
      </c>
    </row>
    <row r="10" spans="1:12" ht="15" thickBot="1" x14ac:dyDescent="0.35">
      <c r="G10" s="22" t="s">
        <v>30</v>
      </c>
      <c r="H10" s="22">
        <v>7</v>
      </c>
    </row>
    <row r="12" spans="1:12" ht="15" thickBot="1" x14ac:dyDescent="0.35">
      <c r="G12" t="s">
        <v>31</v>
      </c>
    </row>
    <row r="13" spans="1:12" x14ac:dyDescent="0.3">
      <c r="G13" s="23"/>
      <c r="H13" s="23" t="s">
        <v>36</v>
      </c>
      <c r="I13" s="23" t="s">
        <v>37</v>
      </c>
      <c r="J13" s="23" t="s">
        <v>38</v>
      </c>
      <c r="K13" s="23" t="s">
        <v>39</v>
      </c>
      <c r="L13" s="23" t="s">
        <v>40</v>
      </c>
    </row>
    <row r="14" spans="1:12" x14ac:dyDescent="0.3">
      <c r="G14" s="21" t="s">
        <v>32</v>
      </c>
      <c r="H14" s="21">
        <v>2</v>
      </c>
      <c r="I14" s="21">
        <v>91.059260131950978</v>
      </c>
      <c r="J14" s="21">
        <v>45.529630065975489</v>
      </c>
      <c r="K14" s="21">
        <v>1.641583790413788</v>
      </c>
      <c r="L14" s="21">
        <v>0.30163336345628172</v>
      </c>
    </row>
    <row r="15" spans="1:12" x14ac:dyDescent="0.3">
      <c r="G15" s="21" t="s">
        <v>33</v>
      </c>
      <c r="H15" s="21">
        <v>4</v>
      </c>
      <c r="I15" s="21">
        <v>110.94073986804902</v>
      </c>
      <c r="J15" s="21">
        <v>27.735184967012255</v>
      </c>
      <c r="K15" s="21"/>
      <c r="L15" s="21"/>
    </row>
    <row r="16" spans="1:12" ht="15" thickBot="1" x14ac:dyDescent="0.35">
      <c r="G16" s="22" t="s">
        <v>34</v>
      </c>
      <c r="H16" s="22">
        <v>6</v>
      </c>
      <c r="I16" s="22">
        <v>202</v>
      </c>
      <c r="J16" s="22"/>
      <c r="K16" s="22"/>
      <c r="L16" s="22"/>
    </row>
    <row r="17" spans="7:15" ht="15" thickBot="1" x14ac:dyDescent="0.35"/>
    <row r="18" spans="7:15" x14ac:dyDescent="0.3">
      <c r="G18" s="23"/>
      <c r="H18" s="23" t="s">
        <v>41</v>
      </c>
      <c r="I18" s="23" t="s">
        <v>4</v>
      </c>
      <c r="J18" s="23" t="s">
        <v>42</v>
      </c>
      <c r="K18" s="23" t="s">
        <v>43</v>
      </c>
      <c r="L18" s="23" t="s">
        <v>44</v>
      </c>
      <c r="M18" s="23" t="s">
        <v>45</v>
      </c>
      <c r="N18" s="23" t="s">
        <v>46</v>
      </c>
      <c r="O18" s="23" t="s">
        <v>47</v>
      </c>
    </row>
    <row r="19" spans="7:15" x14ac:dyDescent="0.3">
      <c r="G19" s="21" t="s">
        <v>35</v>
      </c>
      <c r="H19" s="21">
        <v>-13.762959472196041</v>
      </c>
      <c r="I19" s="21">
        <v>16.610662727188043</v>
      </c>
      <c r="J19" s="21">
        <v>-0.82856173159599877</v>
      </c>
      <c r="K19" s="21">
        <v>0.4539282486124292</v>
      </c>
      <c r="L19" s="21">
        <v>-59.881552695188716</v>
      </c>
      <c r="M19" s="21">
        <v>32.355633750796628</v>
      </c>
      <c r="N19" s="21">
        <v>-59.881552695188716</v>
      </c>
      <c r="O19" s="21">
        <v>32.355633750796628</v>
      </c>
    </row>
    <row r="20" spans="7:15" x14ac:dyDescent="0.3">
      <c r="G20" s="21" t="s">
        <v>0</v>
      </c>
      <c r="H20" s="21">
        <v>1.6195805843543827</v>
      </c>
      <c r="I20" s="21">
        <v>0.90562772286533511</v>
      </c>
      <c r="J20" s="21">
        <v>1.788351376026958</v>
      </c>
      <c r="K20" s="21">
        <v>0.14823496196201452</v>
      </c>
      <c r="L20" s="21">
        <v>-0.89484507392650059</v>
      </c>
      <c r="M20" s="21">
        <v>4.1340062426352659</v>
      </c>
      <c r="N20" s="21">
        <v>-0.89484507392650059</v>
      </c>
      <c r="O20" s="21">
        <v>4.1340062426352659</v>
      </c>
    </row>
    <row r="21" spans="7:15" ht="15" thickBot="1" x14ac:dyDescent="0.35">
      <c r="G21" s="22" t="s">
        <v>1</v>
      </c>
      <c r="H21" s="22">
        <v>-0.74191800188501433</v>
      </c>
      <c r="I21" s="22">
        <v>0.45256122545635846</v>
      </c>
      <c r="J21" s="22">
        <v>-1.6393759786576307</v>
      </c>
      <c r="K21" s="22">
        <v>0.17647810450746465</v>
      </c>
      <c r="L21" s="22">
        <v>-1.9984294011056356</v>
      </c>
      <c r="M21" s="22">
        <v>0.51459339733560705</v>
      </c>
      <c r="N21" s="22">
        <v>-1.9984294011056356</v>
      </c>
      <c r="O21" s="22">
        <v>0.51459339733560705</v>
      </c>
    </row>
    <row r="25" spans="7:15" x14ac:dyDescent="0.3">
      <c r="G25" t="s">
        <v>48</v>
      </c>
      <c r="K25" t="s">
        <v>52</v>
      </c>
    </row>
    <row r="26" spans="7:15" ht="15" thickBot="1" x14ac:dyDescent="0.35"/>
    <row r="27" spans="7:15" x14ac:dyDescent="0.3">
      <c r="G27" s="23" t="s">
        <v>49</v>
      </c>
      <c r="H27" s="23" t="s">
        <v>50</v>
      </c>
      <c r="I27" s="23" t="s">
        <v>51</v>
      </c>
      <c r="K27" s="23" t="s">
        <v>53</v>
      </c>
      <c r="L27" s="23" t="s">
        <v>2</v>
      </c>
    </row>
    <row r="28" spans="7:15" x14ac:dyDescent="0.3">
      <c r="G28" s="21">
        <v>1</v>
      </c>
      <c r="H28" s="21">
        <v>11.209472196041469</v>
      </c>
      <c r="I28" s="21">
        <v>0.79052780395853084</v>
      </c>
      <c r="K28" s="21">
        <v>7.1428571428571432</v>
      </c>
      <c r="L28" s="21">
        <v>10</v>
      </c>
    </row>
    <row r="29" spans="7:15" x14ac:dyDescent="0.3">
      <c r="G29" s="21">
        <v>2</v>
      </c>
      <c r="H29" s="21">
        <v>13.507775683317618</v>
      </c>
      <c r="I29" s="21">
        <v>1.4922243166823819</v>
      </c>
      <c r="K29" s="21">
        <v>21.428571428571431</v>
      </c>
      <c r="L29" s="21">
        <v>10</v>
      </c>
    </row>
    <row r="30" spans="7:15" x14ac:dyDescent="0.3">
      <c r="G30" s="21">
        <v>3</v>
      </c>
      <c r="H30" s="21">
        <v>16.276508011310082</v>
      </c>
      <c r="I30" s="21">
        <v>-6.2765080113100815</v>
      </c>
      <c r="K30" s="21">
        <v>35.714285714285715</v>
      </c>
      <c r="L30" s="21">
        <v>12</v>
      </c>
    </row>
    <row r="31" spans="7:15" x14ac:dyDescent="0.3">
      <c r="G31" s="21">
        <v>4</v>
      </c>
      <c r="H31" s="21">
        <v>20.664820923656929</v>
      </c>
      <c r="I31" s="21">
        <v>-0.66482092365692935</v>
      </c>
      <c r="K31" s="21">
        <v>50.000000000000007</v>
      </c>
      <c r="L31" s="21">
        <v>15</v>
      </c>
    </row>
    <row r="32" spans="7:15" x14ac:dyDescent="0.3">
      <c r="G32" s="21">
        <v>5</v>
      </c>
      <c r="H32" s="21">
        <v>21.813972667294998</v>
      </c>
      <c r="I32" s="21">
        <v>3.1860273327050024</v>
      </c>
      <c r="K32" s="21">
        <v>64.285714285714292</v>
      </c>
      <c r="L32" s="21">
        <v>20</v>
      </c>
    </row>
    <row r="33" spans="7:12" x14ac:dyDescent="0.3">
      <c r="G33" s="21">
        <v>6</v>
      </c>
      <c r="H33" s="21">
        <v>13.924363807728547</v>
      </c>
      <c r="I33" s="21">
        <v>6.0756361922714532</v>
      </c>
      <c r="K33" s="21">
        <v>78.571428571428569</v>
      </c>
      <c r="L33" s="21">
        <v>20</v>
      </c>
    </row>
    <row r="34" spans="7:12" ht="15" thickBot="1" x14ac:dyDescent="0.35">
      <c r="G34" s="22">
        <v>7</v>
      </c>
      <c r="H34" s="22">
        <v>14.603086710650324</v>
      </c>
      <c r="I34" s="22">
        <v>-4.6030867106503237</v>
      </c>
      <c r="K34" s="22">
        <v>92.857142857142861</v>
      </c>
      <c r="L34" s="22">
        <v>25</v>
      </c>
    </row>
  </sheetData>
  <sortState xmlns:xlrd2="http://schemas.microsoft.com/office/spreadsheetml/2017/richdata2" ref="L28:L34">
    <sortCondition ref="L28"/>
  </sortState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13C1A-BCA4-4294-BCD3-CFE6F77EA6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Descriptive stats</vt:lpstr>
      <vt:lpstr>Histogram</vt:lpstr>
      <vt:lpstr>Correlation</vt:lpstr>
      <vt:lpstr>Sampling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Manthan Vaidya</cp:lastModifiedBy>
  <dcterms:created xsi:type="dcterms:W3CDTF">2026-09-01T14:34:42Z</dcterms:created>
  <dcterms:modified xsi:type="dcterms:W3CDTF">2026-09-03T09:12:18Z</dcterms:modified>
</cp:coreProperties>
</file>