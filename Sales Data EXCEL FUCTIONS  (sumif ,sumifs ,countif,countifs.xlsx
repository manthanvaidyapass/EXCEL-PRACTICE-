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02C94FE9-989A-4A2C-A448-A50DDB7C648C}" xr6:coauthVersionLast="47" xr6:coauthVersionMax="47" xr10:uidLastSave="{00000000-0000-0000-0000-000000000000}"/>
  <bookViews>
    <workbookView xWindow="-108" yWindow="-108" windowWidth="23256" windowHeight="12456" xr2:uid="{C1D01709-5CCF-4A9A-AE4A-F0BF21ACA0DD}"/>
  </bookViews>
  <sheets>
    <sheet name="Sales_Data" sheetId="2" r:id="rId1"/>
    <sheet name="Sheet2" sheetId="3" r:id="rId2"/>
    <sheet name="Sheet1" sheetId="1" r:id="rId3"/>
  </sheets>
  <definedNames>
    <definedName name="ExternalData_1" localSheetId="0" hidden="1">Sales_Data!$A$1:$G$44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" l="1"/>
  <c r="J30" i="2"/>
  <c r="J24" i="2"/>
  <c r="H10" i="2"/>
  <c r="H11" i="2"/>
  <c r="H21" i="2"/>
  <c r="H24" i="2"/>
  <c r="H17" i="2"/>
  <c r="H8" i="2"/>
  <c r="H42" i="2"/>
  <c r="H43" i="2"/>
  <c r="H16" i="2"/>
  <c r="H14" i="2"/>
  <c r="H28" i="2"/>
  <c r="H4" i="2"/>
  <c r="H19" i="2"/>
  <c r="H27" i="2"/>
  <c r="H5" i="2"/>
  <c r="H38" i="2"/>
  <c r="H3" i="2"/>
  <c r="H7" i="2"/>
  <c r="H26" i="2"/>
  <c r="H22" i="2"/>
  <c r="H39" i="2"/>
  <c r="H41" i="2"/>
  <c r="H32" i="2"/>
  <c r="H30" i="2"/>
  <c r="H37" i="2"/>
  <c r="H31" i="2"/>
  <c r="H44" i="2"/>
  <c r="H35" i="2"/>
  <c r="H23" i="2"/>
  <c r="H13" i="2"/>
  <c r="H33" i="2"/>
  <c r="H29" i="2"/>
  <c r="H36" i="2"/>
  <c r="H20" i="2"/>
  <c r="H15" i="2"/>
  <c r="H6" i="2"/>
  <c r="H12" i="2"/>
  <c r="H2" i="2"/>
  <c r="H40" i="2"/>
  <c r="H25" i="2"/>
  <c r="H9" i="2"/>
  <c r="H34" i="2"/>
  <c r="H18" i="2"/>
  <c r="J20" i="2"/>
  <c r="J17" i="2"/>
  <c r="J14" i="2"/>
  <c r="J9" i="2"/>
  <c r="J8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1EA3CF-1CCD-4146-B27D-B6A0CFBF32A5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<sst xmlns="http://schemas.openxmlformats.org/spreadsheetml/2006/main" count="150" uniqueCount="40">
  <si>
    <t>OrderDate</t>
  </si>
  <si>
    <t>Region</t>
  </si>
  <si>
    <t>Rep</t>
  </si>
  <si>
    <t>Item</t>
  </si>
  <si>
    <t>Units</t>
  </si>
  <si>
    <t>Unit Cost</t>
  </si>
  <si>
    <t>Revenue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</si>
  <si>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</si>
  <si>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</si>
  <si>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</si>
  <si>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</si>
  <si>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</si>
  <si>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</si>
  <si>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</si>
  <si>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</si>
  <si>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</si>
  <si>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</si>
  <si>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</si>
  <si>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</si>
  <si>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</si>
  <si>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</si>
  <si>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</si>
  <si>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</si>
  <si>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</si>
  <si>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</si>
  <si>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</si>
  <si>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QUE :Find the total unit were sold in east region</t>
  </si>
  <si>
    <t xml:space="preserve">QUE : Whatwas the total revenue Generated from the Binder </t>
  </si>
  <si>
    <t>QUE : What is total revenue generated from the central region whre the item is pencil</t>
  </si>
  <si>
    <t>QUE : How many units were sold by the sale represantative jones were the cost of each item were greter than 4 ?</t>
  </si>
  <si>
    <t xml:space="preserve">QUE : How many units did jonas sell exculding pencil item </t>
  </si>
  <si>
    <t>?</t>
  </si>
  <si>
    <t xml:space="preserve">COUNTIF </t>
  </si>
  <si>
    <t xml:space="preserve">SUMIF </t>
  </si>
  <si>
    <t xml:space="preserve">QUE :Find the total number of times gill has made sale </t>
  </si>
  <si>
    <t>QUE Which sales Represantative made a sale more than 3 Times ?</t>
  </si>
  <si>
    <t>Column1</t>
  </si>
  <si>
    <t>CONTIFS</t>
  </si>
  <si>
    <t>How many orders were placed from the East region after 10th Feb 2019?</t>
  </si>
  <si>
    <t>QUE :How many times did Gill sell pencils?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</si>
</sst>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1A6E9F-CB68-46E6-9C00-830467C3FCE1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Date" tableColumnId="1"/>
      <queryTableField id="2" name="Region" tableColumnId="2"/>
      <queryTableField id="3" name="Rep" tableColumnId="3"/>
      <queryTableField id="4" name="Item" tableColumnId="4"/>
      <queryTableField id="5" name="Units" tableColumnId="5"/>
      <queryTableField id="6" name="Unit Cost" tableColumnId="6"/>
      <queryTableField id="7" name="Revenu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52720-05E8-46BD-BC4E-FD452E30042B}" name="Sales_Data" displayName="Sales_Data" ref="A1:H44" tableType="queryTable" totalsRowShown="0">
  <autoFilter ref="A1:H44" xr:uid="{33F52720-05E8-46BD-BC4E-FD452E30042B}"/>
  <sortState xmlns:xlrd2="http://schemas.microsoft.com/office/spreadsheetml/2017/richdata2" ref="A2:H44">
    <sortCondition ref="A1:A44"/>
  </sortState>
  <tableColumns count="8">
    <tableColumn id="1" xr3:uid="{82403464-88C9-43E9-AD91-4C3AC57A32C1}" uniqueName="1" name="OrderDate" queryTableFieldId="1" dataDxfId="4"/>
    <tableColumn id="2" xr3:uid="{52DD013A-663F-44B5-A041-8431C68758D4}" uniqueName="2" name="Region" queryTableFieldId="2" dataDxfId="3"/>
    <tableColumn id="3" xr3:uid="{C9E20539-19C1-4F8C-8DE8-B7EED36E6B98}" uniqueName="3" name="Rep" queryTableFieldId="3" dataDxfId="2"/>
    <tableColumn id="4" xr3:uid="{21F9446E-0A03-465F-98D8-D17D5A8DB530}" uniqueName="4" name="Item" queryTableFieldId="4" dataDxfId="1"/>
    <tableColumn id="5" xr3:uid="{A326334D-1172-419E-8E5F-167ACEF8449A}" uniqueName="5" name="Units" queryTableFieldId="5"/>
    <tableColumn id="6" xr3:uid="{5D2F0F7E-BA02-40FE-8D8B-7128DDE93D15}" uniqueName="6" name="Unit Cost" queryTableFieldId="6"/>
    <tableColumn id="7" xr3:uid="{B8DC4195-A522-45D6-AE8F-790F011D07FF}" uniqueName="7" name="Revenue" queryTableFieldId="7"/>
    <tableColumn id="8" xr3:uid="{A58523CC-6663-447C-82C2-B549A5DE79B2}" uniqueName="8" name="Column1" queryTableFieldId="8" dataDxfId="0">
      <calculatedColumnFormula>COUNTIF(C2:C44,C2)&gt;3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2709-0E53-41C7-8904-2C83AC0420F6}">
  <dimension ref="A1:O44"/>
  <sheetViews>
    <sheetView tabSelected="1" workbookViewId="0">
      <selection activeCell="H52" sqref="H52"/>
    </sheetView>
  </sheetViews>
  <sheetFormatPr defaultRowHeight="14.4" x14ac:dyDescent="0.3"/>
  <cols>
    <col min="1" max="1" width="11.88671875" bestFit="1" customWidth="1"/>
    <col min="2" max="2" width="8.77734375" bestFit="1" customWidth="1"/>
    <col min="3" max="3" width="9.33203125" bestFit="1" customWidth="1"/>
    <col min="4" max="4" width="7.109375" bestFit="1" customWidth="1"/>
    <col min="5" max="5" width="7.5546875" bestFit="1" customWidth="1"/>
    <col min="6" max="6" width="10.77734375" bestFit="1" customWidth="1"/>
    <col min="7" max="7" width="1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s="2" t="s">
        <v>33</v>
      </c>
      <c r="J1" t="s">
        <v>26</v>
      </c>
    </row>
    <row r="2" spans="1:10" x14ac:dyDescent="0.3">
      <c r="A2" s="3">
        <v>43469</v>
      </c>
      <c r="B2" s="1" t="s">
        <v>16</v>
      </c>
      <c r="C2" s="1" t="s">
        <v>17</v>
      </c>
      <c r="D2" s="1" t="s">
        <v>15</v>
      </c>
      <c r="E2">
        <v>76</v>
      </c>
      <c r="F2">
        <v>1.99</v>
      </c>
      <c r="G2">
        <v>151.24</v>
      </c>
      <c r="H2" t="b">
        <f>COUNTIF(C2:C44,C2)&gt;3</f>
        <v>1</v>
      </c>
      <c r="J2">
        <f>SUMIF(B2:B44,B2,E2:E44)</f>
        <v>231</v>
      </c>
    </row>
    <row r="3" spans="1:10" x14ac:dyDescent="0.3">
      <c r="A3" s="3">
        <v>43470</v>
      </c>
      <c r="B3" s="1" t="s">
        <v>10</v>
      </c>
      <c r="C3" s="1" t="s">
        <v>20</v>
      </c>
      <c r="D3" s="1" t="s">
        <v>12</v>
      </c>
      <c r="E3">
        <v>28</v>
      </c>
      <c r="F3">
        <v>8.99</v>
      </c>
      <c r="G3">
        <v>251.72</v>
      </c>
      <c r="H3" t="b">
        <f>COUNTIF(C3:C45,C3)&gt;3</f>
        <v>0</v>
      </c>
    </row>
    <row r="4" spans="1:10" x14ac:dyDescent="0.3">
      <c r="A4" s="3">
        <v>43471</v>
      </c>
      <c r="B4" s="1" t="s">
        <v>7</v>
      </c>
      <c r="C4" s="1" t="s">
        <v>21</v>
      </c>
      <c r="D4" s="1" t="s">
        <v>12</v>
      </c>
      <c r="E4">
        <v>29</v>
      </c>
      <c r="F4">
        <v>1.99</v>
      </c>
      <c r="G4">
        <v>57.71</v>
      </c>
      <c r="H4" t="b">
        <f>COUNTIF(C4:C46,C4)&gt;3</f>
        <v>0</v>
      </c>
    </row>
    <row r="5" spans="1:10" x14ac:dyDescent="0.3">
      <c r="A5" s="3">
        <v>43472</v>
      </c>
      <c r="B5" s="1" t="s">
        <v>10</v>
      </c>
      <c r="C5" s="1" t="s">
        <v>23</v>
      </c>
      <c r="D5" s="1" t="s">
        <v>24</v>
      </c>
      <c r="E5">
        <v>2</v>
      </c>
      <c r="F5">
        <v>125</v>
      </c>
      <c r="G5">
        <v>250</v>
      </c>
      <c r="H5" t="b">
        <f>COUNTIF(C5:C47,C5)&gt;3</f>
        <v>0</v>
      </c>
    </row>
    <row r="6" spans="1:10" x14ac:dyDescent="0.3">
      <c r="A6" s="3">
        <v>43473</v>
      </c>
      <c r="B6" s="1" t="s">
        <v>16</v>
      </c>
      <c r="C6" s="1" t="s">
        <v>17</v>
      </c>
      <c r="D6" s="1" t="s">
        <v>24</v>
      </c>
      <c r="E6">
        <v>3</v>
      </c>
      <c r="F6">
        <v>275</v>
      </c>
      <c r="G6">
        <v>825</v>
      </c>
      <c r="H6" t="b">
        <f>COUNTIF(C6:C48,C6)&gt;3</f>
        <v>0</v>
      </c>
    </row>
    <row r="7" spans="1:10" x14ac:dyDescent="0.3">
      <c r="A7" s="3">
        <v>43474</v>
      </c>
      <c r="B7" s="1" t="s">
        <v>7</v>
      </c>
      <c r="C7" s="1" t="s">
        <v>8</v>
      </c>
      <c r="D7" s="1" t="s">
        <v>15</v>
      </c>
      <c r="E7">
        <v>64</v>
      </c>
      <c r="F7">
        <v>8.99</v>
      </c>
      <c r="G7">
        <v>575.36</v>
      </c>
      <c r="H7" t="b">
        <f>COUNTIF(C7:C49,C7)&gt;3</f>
        <v>1</v>
      </c>
      <c r="J7" t="s">
        <v>27</v>
      </c>
    </row>
    <row r="8" spans="1:10" x14ac:dyDescent="0.3">
      <c r="A8" s="3">
        <v>43475</v>
      </c>
      <c r="B8" s="1" t="s">
        <v>7</v>
      </c>
      <c r="C8" s="1" t="s">
        <v>8</v>
      </c>
      <c r="D8" s="1" t="s">
        <v>12</v>
      </c>
      <c r="E8">
        <v>60</v>
      </c>
      <c r="F8">
        <v>4.99</v>
      </c>
      <c r="G8">
        <v>299.39999999999998</v>
      </c>
      <c r="H8" t="b">
        <f>COUNTIF(C8:C50,C8)&gt;3</f>
        <v>1</v>
      </c>
      <c r="J8">
        <f>SUMIF(D2:D44,"Binder",G2:G44)</f>
        <v>9577.65</v>
      </c>
    </row>
    <row r="9" spans="1:10" x14ac:dyDescent="0.3">
      <c r="A9" s="3">
        <v>43476</v>
      </c>
      <c r="B9" s="1" t="s">
        <v>10</v>
      </c>
      <c r="C9" s="1" t="s">
        <v>13</v>
      </c>
      <c r="D9" s="1" t="s">
        <v>12</v>
      </c>
      <c r="E9">
        <v>11</v>
      </c>
      <c r="F9">
        <v>4.99</v>
      </c>
      <c r="G9">
        <v>54.89</v>
      </c>
      <c r="H9" t="b">
        <f>COUNTIF(C9:C51,C9)&gt;3</f>
        <v>1</v>
      </c>
      <c r="J9">
        <f>SUMIF(D2:D44,"Pencil",G2:G44)</f>
        <v>2135.14</v>
      </c>
    </row>
    <row r="10" spans="1:10" x14ac:dyDescent="0.3">
      <c r="A10" s="3">
        <v>43477</v>
      </c>
      <c r="B10" s="1" t="s">
        <v>7</v>
      </c>
      <c r="C10" s="1" t="s">
        <v>8</v>
      </c>
      <c r="D10" s="1" t="s">
        <v>9</v>
      </c>
      <c r="E10">
        <v>95</v>
      </c>
      <c r="F10">
        <v>1.99</v>
      </c>
      <c r="G10">
        <v>189.05</v>
      </c>
      <c r="H10" t="b">
        <f>COUNTIF(C10:C52,C10)&gt;3</f>
        <v>1</v>
      </c>
    </row>
    <row r="11" spans="1:10" x14ac:dyDescent="0.3">
      <c r="A11" s="3">
        <v>43478</v>
      </c>
      <c r="B11" s="1" t="s">
        <v>10</v>
      </c>
      <c r="C11" s="1" t="s">
        <v>11</v>
      </c>
      <c r="D11" s="1" t="s">
        <v>12</v>
      </c>
      <c r="E11">
        <v>50</v>
      </c>
      <c r="F11">
        <v>19.989999999999998</v>
      </c>
      <c r="G11">
        <v>999.5</v>
      </c>
      <c r="H11" t="b">
        <f>COUNTIF(C11:C53,C11)&gt;3</f>
        <v>1</v>
      </c>
    </row>
    <row r="12" spans="1:10" x14ac:dyDescent="0.3">
      <c r="A12" s="3">
        <v>43479</v>
      </c>
      <c r="B12" s="1" t="s">
        <v>10</v>
      </c>
      <c r="C12" s="1" t="s">
        <v>14</v>
      </c>
      <c r="D12" s="1" t="s">
        <v>9</v>
      </c>
      <c r="E12">
        <v>7</v>
      </c>
      <c r="F12">
        <v>1.29</v>
      </c>
      <c r="G12">
        <v>9.0299999999999994</v>
      </c>
      <c r="H12" t="b">
        <f>COUNTIF(C12:C54,C12)&gt;3</f>
        <v>1</v>
      </c>
      <c r="J12" t="s">
        <v>28</v>
      </c>
    </row>
    <row r="13" spans="1:10" x14ac:dyDescent="0.3">
      <c r="A13" s="3">
        <v>43480</v>
      </c>
      <c r="B13" s="1" t="s">
        <v>10</v>
      </c>
      <c r="C13" s="1" t="s">
        <v>14</v>
      </c>
      <c r="D13" s="1" t="s">
        <v>9</v>
      </c>
      <c r="E13">
        <v>53</v>
      </c>
      <c r="F13">
        <v>1.29</v>
      </c>
      <c r="G13">
        <v>68.37</v>
      </c>
      <c r="H13" t="b">
        <f>COUNTIF(C13:C55,C13)&gt;3</f>
        <v>1</v>
      </c>
    </row>
    <row r="14" spans="1:10" x14ac:dyDescent="0.3">
      <c r="A14" s="3">
        <v>43481</v>
      </c>
      <c r="B14" s="1" t="s">
        <v>7</v>
      </c>
      <c r="C14" s="1" t="s">
        <v>8</v>
      </c>
      <c r="D14" s="1" t="s">
        <v>12</v>
      </c>
      <c r="E14">
        <v>60</v>
      </c>
      <c r="F14">
        <v>8.99</v>
      </c>
      <c r="G14">
        <v>539.4</v>
      </c>
      <c r="H14" t="b">
        <f>COUNTIF(C14:C56,C14)&gt;3</f>
        <v>1</v>
      </c>
      <c r="J14">
        <f>SUMIFS(G2:G44,B2:B44,"Central",D2:D44,"Pencil")</f>
        <v>1540.3200000000002</v>
      </c>
    </row>
    <row r="15" spans="1:10" x14ac:dyDescent="0.3">
      <c r="A15" s="3">
        <v>43482</v>
      </c>
      <c r="B15" s="1" t="s">
        <v>10</v>
      </c>
      <c r="C15" s="1" t="s">
        <v>11</v>
      </c>
      <c r="D15" s="1" t="s">
        <v>25</v>
      </c>
      <c r="E15">
        <v>42</v>
      </c>
      <c r="F15">
        <v>23.95</v>
      </c>
      <c r="G15">
        <v>1005.9</v>
      </c>
      <c r="H15" t="b">
        <f>COUNTIF(C15:C57,C15)&gt;3</f>
        <v>0</v>
      </c>
    </row>
    <row r="16" spans="1:10" x14ac:dyDescent="0.3">
      <c r="A16" s="3">
        <v>43483</v>
      </c>
      <c r="B16" s="1" t="s">
        <v>16</v>
      </c>
      <c r="C16" s="1" t="s">
        <v>19</v>
      </c>
      <c r="D16" s="1" t="s">
        <v>9</v>
      </c>
      <c r="E16">
        <v>32</v>
      </c>
      <c r="F16">
        <v>1.99</v>
      </c>
      <c r="G16">
        <v>63.68</v>
      </c>
      <c r="H16" t="b">
        <f>COUNTIF(C16:C58,C16)&gt;3</f>
        <v>0</v>
      </c>
      <c r="J16" t="s">
        <v>29</v>
      </c>
    </row>
    <row r="17" spans="1:15" x14ac:dyDescent="0.3">
      <c r="A17" s="3">
        <v>43484</v>
      </c>
      <c r="B17" s="1" t="s">
        <v>16</v>
      </c>
      <c r="C17" s="1" t="s">
        <v>17</v>
      </c>
      <c r="D17" s="1" t="s">
        <v>9</v>
      </c>
      <c r="E17">
        <v>56</v>
      </c>
      <c r="F17">
        <v>2.99</v>
      </c>
      <c r="G17">
        <v>167.44</v>
      </c>
      <c r="H17" t="b">
        <f>COUNTIF(C17:C59,C17)&gt;3</f>
        <v>0</v>
      </c>
      <c r="J17">
        <f>SUMIFS(E2:E44,C2:C44,"Jones",F2:F44,"&gt;4")</f>
        <v>301</v>
      </c>
    </row>
    <row r="18" spans="1:15" x14ac:dyDescent="0.3">
      <c r="A18" s="3">
        <v>43485</v>
      </c>
      <c r="B18" s="1" t="s">
        <v>10</v>
      </c>
      <c r="C18" s="1" t="s">
        <v>18</v>
      </c>
      <c r="D18" s="1" t="s">
        <v>12</v>
      </c>
      <c r="E18">
        <v>28</v>
      </c>
      <c r="F18">
        <v>4.99</v>
      </c>
      <c r="G18">
        <v>139.72</v>
      </c>
      <c r="H18" t="b">
        <f>COUNTIF(C18:C60,C18)&gt;3</f>
        <v>1</v>
      </c>
    </row>
    <row r="19" spans="1:15" x14ac:dyDescent="0.3">
      <c r="A19" s="3">
        <v>43486</v>
      </c>
      <c r="B19" s="1" t="s">
        <v>7</v>
      </c>
      <c r="C19" s="1" t="s">
        <v>22</v>
      </c>
      <c r="D19" s="1" t="s">
        <v>12</v>
      </c>
      <c r="E19">
        <v>81</v>
      </c>
      <c r="F19">
        <v>19.989999999999998</v>
      </c>
      <c r="G19">
        <v>1619.19</v>
      </c>
      <c r="H19" t="b">
        <f>COUNTIF(C19:C61,C19)&gt;3</f>
        <v>0</v>
      </c>
      <c r="J19" t="s">
        <v>30</v>
      </c>
      <c r="O19" t="s">
        <v>31</v>
      </c>
    </row>
    <row r="20" spans="1:15" x14ac:dyDescent="0.3">
      <c r="A20" s="3">
        <v>43487</v>
      </c>
      <c r="B20" s="1" t="s">
        <v>10</v>
      </c>
      <c r="C20" s="1" t="s">
        <v>20</v>
      </c>
      <c r="D20" s="1" t="s">
        <v>25</v>
      </c>
      <c r="E20">
        <v>55</v>
      </c>
      <c r="F20">
        <v>12.49</v>
      </c>
      <c r="G20">
        <v>686.95</v>
      </c>
      <c r="H20" t="b">
        <f>COUNTIF(C20:C62,C20)&gt;3</f>
        <v>0</v>
      </c>
      <c r="J20">
        <f>SUMIFS(E2:E44,C2:C44,"Jones",D2:D44,"&lt;&gt;Pencil")</f>
        <v>266</v>
      </c>
    </row>
    <row r="21" spans="1:15" x14ac:dyDescent="0.3">
      <c r="A21" s="3">
        <v>43488</v>
      </c>
      <c r="B21" s="1" t="s">
        <v>10</v>
      </c>
      <c r="C21" s="1" t="s">
        <v>13</v>
      </c>
      <c r="D21" s="1" t="s">
        <v>9</v>
      </c>
      <c r="E21">
        <v>36</v>
      </c>
      <c r="F21">
        <v>4.99</v>
      </c>
      <c r="G21">
        <v>179.64</v>
      </c>
      <c r="H21" t="b">
        <f>COUNTIF(C21:C63,C21)&gt;3</f>
        <v>1</v>
      </c>
    </row>
    <row r="22" spans="1:15" x14ac:dyDescent="0.3">
      <c r="A22" s="3">
        <v>43489</v>
      </c>
      <c r="B22" s="1" t="s">
        <v>10</v>
      </c>
      <c r="C22" s="1" t="s">
        <v>11</v>
      </c>
      <c r="D22" s="1" t="s">
        <v>25</v>
      </c>
      <c r="E22">
        <v>96</v>
      </c>
      <c r="F22">
        <v>4.99</v>
      </c>
      <c r="G22">
        <v>479.04</v>
      </c>
      <c r="H22" t="b">
        <f>COUNTIF(C22:C64,C22)&gt;3</f>
        <v>0</v>
      </c>
      <c r="I22" s="2" t="s">
        <v>32</v>
      </c>
    </row>
    <row r="23" spans="1:15" x14ac:dyDescent="0.3">
      <c r="A23" s="3">
        <v>43490</v>
      </c>
      <c r="B23" s="1" t="s">
        <v>7</v>
      </c>
      <c r="C23" s="1" t="s">
        <v>21</v>
      </c>
      <c r="D23" s="1" t="s">
        <v>15</v>
      </c>
      <c r="E23">
        <v>96</v>
      </c>
      <c r="F23">
        <v>4.99</v>
      </c>
      <c r="G23">
        <v>479.04</v>
      </c>
      <c r="H23" t="b">
        <f>COUNTIF(C23:C65,C23)&gt;3</f>
        <v>0</v>
      </c>
      <c r="J23" t="s">
        <v>34</v>
      </c>
    </row>
    <row r="24" spans="1:15" x14ac:dyDescent="0.3">
      <c r="A24" s="3">
        <v>43491</v>
      </c>
      <c r="B24" s="1" t="s">
        <v>10</v>
      </c>
      <c r="C24" s="1" t="s">
        <v>14</v>
      </c>
      <c r="D24" s="1" t="s">
        <v>15</v>
      </c>
      <c r="E24">
        <v>27</v>
      </c>
      <c r="F24">
        <v>19.989999999999998</v>
      </c>
      <c r="G24">
        <v>539.73</v>
      </c>
      <c r="H24" t="b">
        <f>COUNTIF(C24:C66,C24)&gt;3</f>
        <v>0</v>
      </c>
      <c r="J24">
        <f>COUNTIF(C2:C44,"Gill")</f>
        <v>5</v>
      </c>
    </row>
    <row r="25" spans="1:15" x14ac:dyDescent="0.3">
      <c r="A25" s="3">
        <v>43492</v>
      </c>
      <c r="B25" s="1" t="s">
        <v>10</v>
      </c>
      <c r="C25" s="1" t="s">
        <v>18</v>
      </c>
      <c r="D25" s="1" t="s">
        <v>9</v>
      </c>
      <c r="E25">
        <v>14</v>
      </c>
      <c r="F25">
        <v>1.29</v>
      </c>
      <c r="G25">
        <v>18.059999999999999</v>
      </c>
      <c r="H25" t="b">
        <f>COUNTIF(C25:C67,C25)&gt;3</f>
        <v>0</v>
      </c>
    </row>
    <row r="26" spans="1:15" x14ac:dyDescent="0.3">
      <c r="A26" s="3">
        <v>43493</v>
      </c>
      <c r="B26" s="1" t="s">
        <v>7</v>
      </c>
      <c r="C26" s="1" t="s">
        <v>22</v>
      </c>
      <c r="D26" s="1" t="s">
        <v>15</v>
      </c>
      <c r="E26">
        <v>15</v>
      </c>
      <c r="F26">
        <v>19.989999999999998</v>
      </c>
      <c r="G26">
        <v>299.85000000000002</v>
      </c>
      <c r="H26" t="b">
        <f>COUNTIF(C26:C68,C26)&gt;3</f>
        <v>0</v>
      </c>
      <c r="J26" t="s">
        <v>35</v>
      </c>
    </row>
    <row r="27" spans="1:15" x14ac:dyDescent="0.3">
      <c r="A27" s="3">
        <v>43494</v>
      </c>
      <c r="B27" s="1" t="s">
        <v>7</v>
      </c>
      <c r="C27" s="1" t="s">
        <v>8</v>
      </c>
      <c r="D27" s="1" t="s">
        <v>9</v>
      </c>
      <c r="E27">
        <v>35</v>
      </c>
      <c r="F27">
        <v>4.99</v>
      </c>
      <c r="G27">
        <v>174.65</v>
      </c>
      <c r="H27" t="b">
        <f>COUNTIF(C27:C69,C27)&gt;3</f>
        <v>1</v>
      </c>
    </row>
    <row r="28" spans="1:15" x14ac:dyDescent="0.3">
      <c r="A28" s="3">
        <v>43495</v>
      </c>
      <c r="B28" s="1" t="s">
        <v>10</v>
      </c>
      <c r="C28" s="1" t="s">
        <v>20</v>
      </c>
      <c r="D28" s="1" t="s">
        <v>9</v>
      </c>
      <c r="E28">
        <v>90</v>
      </c>
      <c r="F28">
        <v>4.99</v>
      </c>
      <c r="G28">
        <v>449.1</v>
      </c>
      <c r="H28" t="b">
        <f>COUNTIF(C28:C70,C28)&gt;3</f>
        <v>0</v>
      </c>
      <c r="I28" s="2" t="s">
        <v>37</v>
      </c>
    </row>
    <row r="29" spans="1:15" x14ac:dyDescent="0.3">
      <c r="A29" s="3">
        <v>43496</v>
      </c>
      <c r="B29" s="1" t="s">
        <v>10</v>
      </c>
      <c r="C29" s="1" t="s">
        <v>11</v>
      </c>
      <c r="D29" s="1" t="s">
        <v>24</v>
      </c>
      <c r="E29">
        <v>5</v>
      </c>
      <c r="F29">
        <v>125</v>
      </c>
      <c r="G29">
        <v>625</v>
      </c>
      <c r="H29" t="b">
        <f>COUNTIF(C29:C71,C29)&gt;3</f>
        <v>0</v>
      </c>
      <c r="I29" s="2"/>
      <c r="J29" t="s">
        <v>38</v>
      </c>
    </row>
    <row r="30" spans="1:15" x14ac:dyDescent="0.3">
      <c r="A30" s="3">
        <v>43497</v>
      </c>
      <c r="B30" s="1" t="s">
        <v>10</v>
      </c>
      <c r="C30" s="1" t="s">
        <v>23</v>
      </c>
      <c r="D30" s="1" t="s">
        <v>12</v>
      </c>
      <c r="E30">
        <v>87</v>
      </c>
      <c r="F30">
        <v>15</v>
      </c>
      <c r="G30">
        <v>1305</v>
      </c>
      <c r="H30" t="b">
        <f>COUNTIF(C30:C72,C30)&gt;3</f>
        <v>0</v>
      </c>
      <c r="J30">
        <f>COUNTIFS(A2:A44,"&gt;2/10/2019",B2:B44,"East")</f>
        <v>0</v>
      </c>
    </row>
    <row r="31" spans="1:15" x14ac:dyDescent="0.3">
      <c r="A31" s="3">
        <v>43498</v>
      </c>
      <c r="B31" s="1" t="s">
        <v>16</v>
      </c>
      <c r="C31" s="1" t="s">
        <v>17</v>
      </c>
      <c r="D31" s="1" t="s">
        <v>12</v>
      </c>
      <c r="E31">
        <v>7</v>
      </c>
      <c r="F31">
        <v>19.989999999999998</v>
      </c>
      <c r="G31">
        <v>139.93</v>
      </c>
      <c r="H31" t="b">
        <f>COUNTIF(C31:C73,C31)&gt;3</f>
        <v>0</v>
      </c>
    </row>
    <row r="32" spans="1:15" x14ac:dyDescent="0.3">
      <c r="A32" s="3">
        <v>43499</v>
      </c>
      <c r="B32" s="1" t="s">
        <v>10</v>
      </c>
      <c r="C32" s="1" t="s">
        <v>14</v>
      </c>
      <c r="D32" s="1" t="s">
        <v>12</v>
      </c>
      <c r="E32">
        <v>46</v>
      </c>
      <c r="F32">
        <v>8.99</v>
      </c>
      <c r="G32">
        <v>413.54</v>
      </c>
      <c r="H32" t="b">
        <f>COUNTIF(C32:C74,C32)&gt;3</f>
        <v>0</v>
      </c>
      <c r="J32" t="s">
        <v>39</v>
      </c>
    </row>
    <row r="33" spans="1:10" x14ac:dyDescent="0.3">
      <c r="A33" s="3">
        <v>43500</v>
      </c>
      <c r="B33" s="1" t="s">
        <v>10</v>
      </c>
      <c r="C33" s="1" t="s">
        <v>14</v>
      </c>
      <c r="D33" s="1" t="s">
        <v>12</v>
      </c>
      <c r="E33">
        <v>80</v>
      </c>
      <c r="F33">
        <v>8.99</v>
      </c>
      <c r="G33">
        <v>719.2</v>
      </c>
      <c r="H33" t="b">
        <f>COUNTIF(C33:C75,C33)&gt;3</f>
        <v>0</v>
      </c>
    </row>
    <row r="34" spans="1:10" x14ac:dyDescent="0.3">
      <c r="A34" s="3">
        <v>43501</v>
      </c>
      <c r="B34" s="1" t="s">
        <v>10</v>
      </c>
      <c r="C34" s="1" t="s">
        <v>13</v>
      </c>
      <c r="D34" s="1" t="s">
        <v>12</v>
      </c>
      <c r="E34">
        <v>94</v>
      </c>
      <c r="F34">
        <v>19.989999999999998</v>
      </c>
      <c r="G34">
        <v>1879.06</v>
      </c>
      <c r="H34" t="b">
        <f>COUNTIF(C34:C76,C34)&gt;3</f>
        <v>0</v>
      </c>
      <c r="J34">
        <f>COUNTIFS(D2:D44,"Pencil",C2:C44,"Gill")</f>
        <v>2</v>
      </c>
    </row>
    <row r="35" spans="1:10" x14ac:dyDescent="0.3">
      <c r="A35" s="3">
        <v>43502</v>
      </c>
      <c r="B35" s="1" t="s">
        <v>10</v>
      </c>
      <c r="C35" s="1" t="s">
        <v>18</v>
      </c>
      <c r="D35" s="1" t="s">
        <v>9</v>
      </c>
      <c r="E35">
        <v>66</v>
      </c>
      <c r="F35">
        <v>1.99</v>
      </c>
      <c r="G35">
        <v>131.34</v>
      </c>
      <c r="H35" t="b">
        <f>COUNTIF(C35:C77,C35)&gt;3</f>
        <v>0</v>
      </c>
    </row>
    <row r="36" spans="1:10" x14ac:dyDescent="0.3">
      <c r="A36" s="3">
        <v>43503</v>
      </c>
      <c r="B36" s="1" t="s">
        <v>7</v>
      </c>
      <c r="C36" s="1" t="s">
        <v>8</v>
      </c>
      <c r="D36" s="1" t="s">
        <v>25</v>
      </c>
      <c r="E36">
        <v>62</v>
      </c>
      <c r="F36">
        <v>4.99</v>
      </c>
      <c r="G36">
        <v>309.38</v>
      </c>
      <c r="H36" t="b">
        <f>COUNTIF(C36:C78,C36)&gt;3</f>
        <v>0</v>
      </c>
    </row>
    <row r="37" spans="1:10" x14ac:dyDescent="0.3">
      <c r="A37" s="3">
        <v>43504</v>
      </c>
      <c r="B37" s="1" t="s">
        <v>7</v>
      </c>
      <c r="C37" s="1" t="s">
        <v>8</v>
      </c>
      <c r="D37" s="1" t="s">
        <v>12</v>
      </c>
      <c r="E37">
        <v>4</v>
      </c>
      <c r="F37">
        <v>4.99</v>
      </c>
      <c r="G37">
        <v>19.96</v>
      </c>
      <c r="H37" t="b">
        <f>COUNTIF(C37:C79,C37)&gt;3</f>
        <v>0</v>
      </c>
    </row>
    <row r="38" spans="1:10" x14ac:dyDescent="0.3">
      <c r="A38" s="3">
        <v>43505</v>
      </c>
      <c r="B38" s="1" t="s">
        <v>7</v>
      </c>
      <c r="C38" s="1" t="s">
        <v>8</v>
      </c>
      <c r="D38" s="1" t="s">
        <v>25</v>
      </c>
      <c r="E38">
        <v>16</v>
      </c>
      <c r="F38">
        <v>15.99</v>
      </c>
      <c r="G38">
        <v>255.84</v>
      </c>
      <c r="H38" t="b">
        <f>COUNTIF(C38:C80,C38)&gt;3</f>
        <v>0</v>
      </c>
    </row>
    <row r="39" spans="1:10" x14ac:dyDescent="0.3">
      <c r="A39" s="3">
        <v>43506</v>
      </c>
      <c r="B39" s="1" t="s">
        <v>10</v>
      </c>
      <c r="C39" s="1" t="s">
        <v>23</v>
      </c>
      <c r="D39" s="1" t="s">
        <v>9</v>
      </c>
      <c r="E39">
        <v>67</v>
      </c>
      <c r="F39">
        <v>1.29</v>
      </c>
      <c r="G39">
        <v>86.43</v>
      </c>
      <c r="H39" t="b">
        <f>COUNTIF(C39:C81,C39)&gt;3</f>
        <v>0</v>
      </c>
    </row>
    <row r="40" spans="1:10" x14ac:dyDescent="0.3">
      <c r="A40" s="3">
        <v>43507</v>
      </c>
      <c r="B40" s="1" t="s">
        <v>16</v>
      </c>
      <c r="C40" s="1" t="s">
        <v>19</v>
      </c>
      <c r="D40" s="1" t="s">
        <v>12</v>
      </c>
      <c r="E40">
        <v>57</v>
      </c>
      <c r="F40">
        <v>19.989999999999998</v>
      </c>
      <c r="G40">
        <v>1139.43</v>
      </c>
      <c r="H40" t="b">
        <f>COUNTIF(C40:C82,C40)&gt;3</f>
        <v>0</v>
      </c>
    </row>
    <row r="41" spans="1:10" x14ac:dyDescent="0.3">
      <c r="A41" s="3">
        <v>43508</v>
      </c>
      <c r="B41" s="1" t="s">
        <v>7</v>
      </c>
      <c r="C41" s="1" t="s">
        <v>22</v>
      </c>
      <c r="D41" s="1" t="s">
        <v>25</v>
      </c>
      <c r="E41">
        <v>74</v>
      </c>
      <c r="F41">
        <v>15.99</v>
      </c>
      <c r="G41">
        <v>1183.26</v>
      </c>
      <c r="H41" t="b">
        <f>COUNTIF(C41:C83,C41)&gt;3</f>
        <v>0</v>
      </c>
    </row>
    <row r="42" spans="1:10" x14ac:dyDescent="0.3">
      <c r="A42" s="3">
        <v>43509</v>
      </c>
      <c r="B42" s="1" t="s">
        <v>10</v>
      </c>
      <c r="C42" s="1" t="s">
        <v>18</v>
      </c>
      <c r="D42" s="1" t="s">
        <v>9</v>
      </c>
      <c r="E42">
        <v>75</v>
      </c>
      <c r="F42">
        <v>1.99</v>
      </c>
      <c r="G42">
        <v>149.25</v>
      </c>
      <c r="H42" t="b">
        <f>COUNTIF(C42:C84,C42)&gt;3</f>
        <v>0</v>
      </c>
    </row>
    <row r="43" spans="1:10" x14ac:dyDescent="0.3">
      <c r="A43" s="3">
        <v>43510</v>
      </c>
      <c r="B43" s="1" t="s">
        <v>10</v>
      </c>
      <c r="C43" s="1" t="s">
        <v>13</v>
      </c>
      <c r="D43" s="1" t="s">
        <v>9</v>
      </c>
      <c r="E43">
        <v>90</v>
      </c>
      <c r="F43">
        <v>4.99</v>
      </c>
      <c r="G43">
        <v>449.1</v>
      </c>
      <c r="H43" t="b">
        <f>COUNTIF(C43:C85,C43)&gt;3</f>
        <v>0</v>
      </c>
    </row>
    <row r="44" spans="1:10" x14ac:dyDescent="0.3">
      <c r="A44" s="3">
        <v>43511</v>
      </c>
      <c r="B44" s="1" t="s">
        <v>10</v>
      </c>
      <c r="C44" s="1" t="s">
        <v>13</v>
      </c>
      <c r="D44" s="1" t="s">
        <v>25</v>
      </c>
      <c r="E44">
        <v>50</v>
      </c>
      <c r="F44">
        <v>4.99</v>
      </c>
      <c r="G44">
        <v>249.5</v>
      </c>
      <c r="H44" t="b">
        <f>COUNTIF(C44:C86,C44)&gt;3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5EA9-72BD-4037-AE12-3C1F53DA14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A508-8C19-4266-9EA0-043968F2E8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0BABCC-8B77-43EB-9F06-654B970FB1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Vaidya</dc:creator>
  <cp:lastModifiedBy>Manthan Vaidya</cp:lastModifiedBy>
  <dcterms:created xsi:type="dcterms:W3CDTF">2026-08-31T03:09:42Z</dcterms:created>
  <dcterms:modified xsi:type="dcterms:W3CDTF">2026-08-31T05:10:37Z</dcterms:modified>
</cp:coreProperties>
</file>