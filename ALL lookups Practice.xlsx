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D427E038-1209-4F27-AAE2-1FCF82E14384}" xr6:coauthVersionLast="47" xr6:coauthVersionMax="47" xr10:uidLastSave="{00000000-0000-0000-0000-000000000000}"/>
  <bookViews>
    <workbookView xWindow="-108" yWindow="-108" windowWidth="23256" windowHeight="12456" firstSheet="1" activeTab="4" xr2:uid="{B8942BEE-3145-4093-8266-3239DF328038}"/>
  </bookViews>
  <sheets>
    <sheet name="Hlookup" sheetId="2" r:id="rId1"/>
    <sheet name="Sheet1" sheetId="1" r:id="rId2"/>
    <sheet name="sheet 2" sheetId="5" r:id="rId3"/>
    <sheet name="Sheet 3" sheetId="7" r:id="rId4"/>
    <sheet name="Descriptive stats" sheetId="10" r:id="rId5"/>
  </sheets>
  <definedNames>
    <definedName name="ExternalData_1" localSheetId="4" hidden="1">'Descriptive stats'!$A$1:$C$8</definedName>
    <definedName name="ExternalData_1" localSheetId="2" hidden="1">'sheet 2'!$A$1:$E$21</definedName>
    <definedName name="ExternalData_1" localSheetId="3" hidden="1">'Sheet 3'!$A$1:$E$21</definedName>
    <definedName name="Oursearch3">Hlookup!$A$2:$G$5</definedName>
    <definedName name="Outsearch4">Sheet1!$A$2:$E$21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7" l="1"/>
  <c r="J19" i="7"/>
  <c r="I19" i="7"/>
  <c r="I11" i="7"/>
  <c r="I3" i="7"/>
  <c r="H17" i="5"/>
  <c r="H10" i="5"/>
  <c r="H4" i="5"/>
  <c r="H15" i="1"/>
  <c r="H6" i="1"/>
  <c r="D25" i="2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E0888-E456-4AC0-B807-2A81C7297438}" keepAlive="1" name="Query - Descriptive stats" description="Connection to the 'Descriptive stats' query in the workbook." type="5" refreshedVersion="8" background="1" saveData="1">
    <dbPr connection="Provider=Microsoft.Mashup.OleDb.1;Data Source=$Workbook$;Location=&quot;Descriptive stats&quot;;Extended Properties=&quot;&quot;" command="SELECT * FROM [Descriptive stats]"/>
  </connection>
  <connection id="2" xr16:uid="{9226D984-386D-4DE5-9024-8203A524AA22}" keepAlive="1" name="Query - Descriptive_Stats xlsx" description="Connection to the 'Descriptive_Stats xlsx' query in the workbook." type="5" refreshedVersion="0" background="1">
    <dbPr connection="Provider=Microsoft.Mashup.OleDb.1;Data Source=$Workbook$;Location=&quot;Descriptive_Stats xlsx&quot;;Extended Properties=&quot;&quot;" command="SELECT * FROM [Descriptive_Stats xlsx]"/>
  </connection>
  <connection id="3" xr16:uid="{D6C92C68-3280-488A-952C-485528A2C8FF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4" xr16:uid="{F8903EC8-2369-4FB5-8A21-97CB7E32BF97}" keepAlive="1" name="Query - employee_data (2)" description="Connection to the 'employee_data (2)' query in the workbook." type="5" refreshedVersion="8" background="1" saveData="1">
    <dbPr connection="Provider=Microsoft.Mashup.OleDb.1;Data Source=$Workbook$;Location=&quot;employee_data (2)&quot;;Extended Properties=&quot;&quot;" command="SELECT * FROM [employee_data (2)]"/>
  </connection>
  <connection id="5" xr16:uid="{E2A2862B-6BDC-493D-9232-B15ACE98B4E8}" keepAlive="1" name="Query - employee_lookup_data" description="Connection to the 'employee_lookup_data' query in the workbook." type="5" refreshedVersion="0" background="1">
    <dbPr connection="Provider=Microsoft.Mashup.OleDb.1;Data Source=$Workbook$;Location=employee_lookup_data;Extended Properties=&quot;&quot;" command="SELECT * FROM [employee_lookup_data]"/>
  </connection>
</connections>
</file>

<file path=xl/sharedStrings.xml><?xml version="1.0" encoding="utf-8"?>
<sst xmlns="http://schemas.openxmlformats.org/spreadsheetml/2006/main" count="329" uniqueCount="108">
  <si>
    <t>Emp ID</t>
  </si>
  <si>
    <t>Emp Name</t>
  </si>
  <si>
    <t>Email Address</t>
  </si>
  <si>
    <t>Job Title</t>
  </si>
  <si>
    <t>Rocco Anderson</t>
  </si>
  <si>
    <t>Rocco_Anderson7355@sheye.org</t>
  </si>
  <si>
    <t>Project Manager</t>
  </si>
  <si>
    <t>Hank Saunders</t>
  </si>
  <si>
    <t>Hank_Saunders7355@sheye.org</t>
  </si>
  <si>
    <t>Chef Manager</t>
  </si>
  <si>
    <t>Eden Connell</t>
  </si>
  <si>
    <t>Eden_Connell7355@sheye.org</t>
  </si>
  <si>
    <t>Owen Lindow</t>
  </si>
  <si>
    <t>Owen_Lindow7355@sheye.org</t>
  </si>
  <si>
    <t>Business Broker</t>
  </si>
  <si>
    <t>Barney Cavanaugh</t>
  </si>
  <si>
    <t>Barney_Cavanaugh7355@sheye.org</t>
  </si>
  <si>
    <t>Fabricator</t>
  </si>
  <si>
    <t>Mason Randall</t>
  </si>
  <si>
    <t>Mason_Randall7355@sheye.org</t>
  </si>
  <si>
    <t>Food Technologist</t>
  </si>
  <si>
    <t>Find the salary of Eden Connell using HLOOKUP</t>
  </si>
  <si>
    <t>Find the job title for Emp ID 105</t>
  </si>
  <si>
    <t>Salary</t>
  </si>
  <si>
    <t>Salary $</t>
  </si>
  <si>
    <t>Banker</t>
  </si>
  <si>
    <t>Rocco_Anderson5427@acrit.org</t>
  </si>
  <si>
    <t>$4,000.00</t>
  </si>
  <si>
    <t>Hank_Saunders8364@extex.org</t>
  </si>
  <si>
    <t>$5,400.00</t>
  </si>
  <si>
    <t>Eden_Connell4891@irrepsy.com</t>
  </si>
  <si>
    <t>$3,000.00</t>
  </si>
  <si>
    <t>Owen Lindop</t>
  </si>
  <si>
    <t>Owen_Lindop4826@womeona.net</t>
  </si>
  <si>
    <t>$8,000.00</t>
  </si>
  <si>
    <t>Barney Cavanagh</t>
  </si>
  <si>
    <t>Barney_Cavanagh8048@extex.org</t>
  </si>
  <si>
    <t>$2,000.00</t>
  </si>
  <si>
    <t>$5,000.00</t>
  </si>
  <si>
    <t>Penelope Burge</t>
  </si>
  <si>
    <t>Penelope_Burge3295@cispeto.com</t>
  </si>
  <si>
    <t>Book keeper</t>
  </si>
  <si>
    <t>$4,200.00</t>
  </si>
  <si>
    <t>Fred Stone</t>
  </si>
  <si>
    <t>Fred_Stone667@cispeto.com</t>
  </si>
  <si>
    <t>Stock broker</t>
  </si>
  <si>
    <t>$6,000.00</t>
  </si>
  <si>
    <t>Javier Power</t>
  </si>
  <si>
    <t>Javier_Power8197@infotech44.tech</t>
  </si>
  <si>
    <t>Designer</t>
  </si>
  <si>
    <t>$10,000.00</t>
  </si>
  <si>
    <t>Joyce London</t>
  </si>
  <si>
    <t>Joyce_London9945@bulaffy.com</t>
  </si>
  <si>
    <t>Steward</t>
  </si>
  <si>
    <t>$7,000.00</t>
  </si>
  <si>
    <t>Eduardo Dale</t>
  </si>
  <si>
    <t>Eduardo_Dale6990@sheye.org</t>
  </si>
  <si>
    <t>HR Coordinator</t>
  </si>
  <si>
    <t>$6,700.00</t>
  </si>
  <si>
    <t>Wade Hepburn</t>
  </si>
  <si>
    <t>Wade_Hepburn96@gmail.com</t>
  </si>
  <si>
    <t>Mobile Developer</t>
  </si>
  <si>
    <t>$12,000.00</t>
  </si>
  <si>
    <t>Barney Selby</t>
  </si>
  <si>
    <t>Barney_Selby4788@irrepsy.com</t>
  </si>
  <si>
    <t>Baker</t>
  </si>
  <si>
    <t>$2,300.00</t>
  </si>
  <si>
    <t>Peter Daniells</t>
  </si>
  <si>
    <t>Peter_Daniells7930@guentu.biz</t>
  </si>
  <si>
    <t>Webmaster</t>
  </si>
  <si>
    <t>$5,600.00</t>
  </si>
  <si>
    <t>Percy Denton</t>
  </si>
  <si>
    <t>Percy_Denton5997@bretoux.com</t>
  </si>
  <si>
    <t>Treasurer</t>
  </si>
  <si>
    <t>Ronald Rycroft</t>
  </si>
  <si>
    <t>Ronald_Rycroft7391@tuliss.net</t>
  </si>
  <si>
    <t>$3,200.00</t>
  </si>
  <si>
    <t>Noah Kidd</t>
  </si>
  <si>
    <t>Noah_Kidd6142@gompie.com</t>
  </si>
  <si>
    <t>$9,000.00</t>
  </si>
  <si>
    <t>Mark Freeburn</t>
  </si>
  <si>
    <t>Mark_Freeburn4410@brety.org</t>
  </si>
  <si>
    <t>Retail Trainee</t>
  </si>
  <si>
    <t>$5,300.00</t>
  </si>
  <si>
    <t>Melanie Cartwright</t>
  </si>
  <si>
    <t>Melanie_Cartwright8871@irrepsy.com</t>
  </si>
  <si>
    <t>IT Support Staff</t>
  </si>
  <si>
    <t>$6,400.00</t>
  </si>
  <si>
    <t>Harvey Andrews</t>
  </si>
  <si>
    <t>Harvey_Andrews619@matthy.com</t>
  </si>
  <si>
    <t>Find the salary of Hank Saunders</t>
  </si>
  <si>
    <t>Find the Emp ID of Owen_Lindop4826@womeona.net</t>
  </si>
  <si>
    <t>LOOKUP FUNCTION:</t>
  </si>
  <si>
    <t>HLOOKUP :</t>
  </si>
  <si>
    <t>Find the salary of Peter Daniells</t>
  </si>
  <si>
    <t>Find the Emp ID with salary $10000</t>
  </si>
  <si>
    <t>Check for employee James Bond. If the value is not present, display "Not Found"</t>
  </si>
  <si>
    <t>Vlookup : Index formula :</t>
  </si>
  <si>
    <t>Manthan Vaidya</t>
  </si>
  <si>
    <t>Iferror :</t>
  </si>
  <si>
    <t>What the Job Title of Javier Power?</t>
  </si>
  <si>
    <t>What is the Emp ID of the person with email Peter_Daniells7930@guentu.biz</t>
  </si>
  <si>
    <t xml:space="preserve"> What is the job title and salary of Eduardo Dale?</t>
  </si>
  <si>
    <t>Find Name not found for Emp ID 121</t>
  </si>
  <si>
    <t>XIFN</t>
  </si>
  <si>
    <t>Temperature</t>
  </si>
  <si>
    <t>Price of ice cream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</si>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</sst>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5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1" fillId="3" borderId="0" xfId="4"/>
    <xf numFmtId="0" fontId="1" fillId="4" borderId="0" xfId="5"/>
    <xf numFmtId="0" fontId="0" fillId="4" borderId="0" xfId="5" applyFont="1"/>
    <xf numFmtId="0" fontId="1" fillId="2" borderId="0" xfId="3"/>
    <xf numFmtId="0" fontId="3" fillId="0" borderId="2" xfId="2"/>
    <xf numFmtId="0" fontId="0" fillId="4" borderId="0" xfId="5" applyNumberFormat="1" applyFont="1"/>
    <xf numFmtId="0" fontId="2" fillId="0" borderId="1" xfId="1"/>
    <xf numFmtId="0" fontId="4" fillId="0" borderId="1" xfId="1" applyFont="1"/>
  </cellXfs>
  <cellStyles count="6">
    <cellStyle name="20% - Accent2" xfId="5" builtinId="34"/>
    <cellStyle name="40% - Accent1" xfId="3" builtinId="31"/>
    <cellStyle name="60% - Accent1" xfId="4" builtinId="32"/>
    <cellStyle name="Heading 1" xfId="1" builtinId="16"/>
    <cellStyle name="Heading 2" xfId="2" builtinId="17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F4D7CD8-C756-4897-BEBC-F71DE2A636DA}" autoFormatId="16" applyNumberFormats="0" applyBorderFormats="0" applyFontFormats="0" applyPatternFormats="0" applyAlignmentFormats="0" applyWidthHeightFormats="0">
  <queryTableRefresh nextId="6">
    <queryTableFields count="5">
      <queryTableField id="1" name="Emp ID" tableColumnId="1"/>
      <queryTableField id="2" name="Emp Name" tableColumnId="2"/>
      <queryTableField id="3" name="Email Address" tableColumnId="3"/>
      <queryTableField id="4" name="Job Title" tableColumnId="4"/>
      <queryTableField id="5" name="Salar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ADE57B7-728F-41AE-8F1E-23E11E8192AC}" autoFormatId="16" applyNumberFormats="0" applyBorderFormats="0" applyFontFormats="0" applyPatternFormats="0" applyAlignmentFormats="0" applyWidthHeightFormats="0">
  <queryTableRefresh nextId="6">
    <queryTableFields count="5">
      <queryTableField id="1" name="Emp ID" tableColumnId="1"/>
      <queryTableField id="2" name="Emp Name" tableColumnId="2"/>
      <queryTableField id="3" name="Email Address" tableColumnId="3"/>
      <queryTableField id="4" name="Job Title" tableColumnId="4"/>
      <queryTableField id="5" name="Salar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0D22E9-AD1D-4403-9A97-BE5D80D667C8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F4350-ABF2-438A-93C0-598D11E06084}" name="employee_data" displayName="employee_data" ref="A1:E21" tableType="queryTable" totalsRowShown="0" headerRowCellStyle="40% - Accent1">
  <autoFilter ref="A1:E21" xr:uid="{9E0F4350-ABF2-438A-93C0-598D11E06084}"/>
  <sortState xmlns:xlrd2="http://schemas.microsoft.com/office/spreadsheetml/2017/richdata2" ref="A2:E21">
    <sortCondition ref="B2:B21"/>
  </sortState>
  <tableColumns count="5">
    <tableColumn id="1" xr3:uid="{97FE37B8-DBBE-4501-A021-1851CC2EAF72}" uniqueName="1" name="Emp ID" queryTableFieldId="1"/>
    <tableColumn id="2" xr3:uid="{E5680157-504C-4E88-8CEB-1AD403804C59}" uniqueName="2" name="Emp Name" queryTableFieldId="2" dataDxfId="7"/>
    <tableColumn id="3" xr3:uid="{7230C036-018B-455A-97A3-67535557DF02}" uniqueName="3" name="Email Address" queryTableFieldId="3" dataDxfId="6"/>
    <tableColumn id="4" xr3:uid="{B7603F15-A007-471E-B272-16DAD7AE4969}" uniqueName="4" name="Job Title" queryTableFieldId="4" dataDxfId="5"/>
    <tableColumn id="5" xr3:uid="{8C4BC7FE-8818-4743-98D7-5850A3AE46BB}" uniqueName="5" name="Salary" queryTableFieldId="5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6A382-E68C-4040-BA8B-614CDE86B902}" name="employee_data__2" displayName="employee_data__2" ref="A1:E21" tableType="queryTable" totalsRowShown="0" headerRowCellStyle="60% - Accent1">
  <autoFilter ref="A1:E21" xr:uid="{E3D6A382-E68C-4040-BA8B-614CDE86B902}"/>
  <sortState xmlns:xlrd2="http://schemas.microsoft.com/office/spreadsheetml/2017/richdata2" ref="A2:E21">
    <sortCondition ref="B2:B21"/>
  </sortState>
  <tableColumns count="5">
    <tableColumn id="1" xr3:uid="{F66263A5-8605-4EDA-AE55-88BB88088D6A}" uniqueName="1" name="Emp ID" queryTableFieldId="1"/>
    <tableColumn id="2" xr3:uid="{CB905F79-2B27-4B66-B9CD-D927D358187C}" uniqueName="2" name="Emp Name" queryTableFieldId="2" dataDxfId="3"/>
    <tableColumn id="3" xr3:uid="{EDEA0EBE-41E1-47D2-AFBF-48E2D75C8849}" uniqueName="3" name="Email Address" queryTableFieldId="3" dataDxfId="2"/>
    <tableColumn id="4" xr3:uid="{74CDCBF4-D80D-4AC1-848A-C4A94E069CD4}" uniqueName="4" name="Job Title" queryTableFieldId="4" dataDxfId="1"/>
    <tableColumn id="5" xr3:uid="{DBF7CB92-741B-47F7-88F9-AC9C79D8E997}" uniqueName="5" name="Salary" queryTableFieldId="5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28A6BD-7F6D-40D4-A4CA-AF1CF5B17732}" name="Descriptive_stats" displayName="Descriptive_stats" ref="A1:C8" tableType="queryTable" totalsRowShown="0">
  <autoFilter ref="A1:C8" xr:uid="{AD28A6BD-7F6D-40D4-A4CA-AF1CF5B17732}"/>
  <tableColumns count="3">
    <tableColumn id="1" xr3:uid="{1AB0900D-5D19-401A-8ECC-22B898972DEF}" uniqueName="1" name="Temperature" queryTableFieldId="1"/>
    <tableColumn id="2" xr3:uid="{7D1BC59C-C109-4193-85CC-413102FD68FD}" uniqueName="2" name="Price of ice cream" queryTableFieldId="2"/>
    <tableColumn id="3" xr3:uid="{EBD74FB0-BCCA-4033-A849-0FE6E6BB057D}" uniqueName="3" name="Units sol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2E02-8645-420B-BE12-22D28A6D05F3}">
  <dimension ref="A1:G25"/>
  <sheetViews>
    <sheetView zoomScale="76" zoomScaleNormal="76" workbookViewId="0">
      <selection activeCell="C9" sqref="C9"/>
    </sheetView>
  </sheetViews>
  <sheetFormatPr defaultRowHeight="14.4" x14ac:dyDescent="0.3"/>
  <cols>
    <col min="1" max="1" width="12.109375" customWidth="1"/>
    <col min="2" max="2" width="30.21875" customWidth="1"/>
    <col min="3" max="3" width="29.33203125" customWidth="1"/>
    <col min="4" max="4" width="28.33203125" customWidth="1"/>
    <col min="5" max="5" width="26.88671875" customWidth="1"/>
    <col min="6" max="6" width="32.6640625" customWidth="1"/>
    <col min="7" max="7" width="39.21875" customWidth="1"/>
  </cols>
  <sheetData>
    <row r="1" spans="1:7" x14ac:dyDescent="0.3">
      <c r="A1" s="2" t="s">
        <v>0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</row>
    <row r="2" spans="1:7" x14ac:dyDescent="0.3">
      <c r="A2" s="2" t="s">
        <v>1</v>
      </c>
      <c r="B2" s="1" t="s">
        <v>4</v>
      </c>
      <c r="C2" s="1" t="s">
        <v>7</v>
      </c>
      <c r="D2" s="1" t="s">
        <v>10</v>
      </c>
      <c r="E2" s="1" t="s">
        <v>12</v>
      </c>
      <c r="F2" s="1" t="s">
        <v>15</v>
      </c>
      <c r="G2" s="1" t="s">
        <v>18</v>
      </c>
    </row>
    <row r="3" spans="1:7" x14ac:dyDescent="0.3">
      <c r="A3" s="2" t="s">
        <v>2</v>
      </c>
      <c r="B3" s="1" t="s">
        <v>5</v>
      </c>
      <c r="C3" s="1" t="s">
        <v>8</v>
      </c>
      <c r="D3" s="1" t="s">
        <v>11</v>
      </c>
      <c r="E3" s="1" t="s">
        <v>13</v>
      </c>
      <c r="F3" s="1" t="s">
        <v>16</v>
      </c>
      <c r="G3" s="1" t="s">
        <v>19</v>
      </c>
    </row>
    <row r="4" spans="1:7" x14ac:dyDescent="0.3">
      <c r="A4" s="2" t="s">
        <v>3</v>
      </c>
      <c r="B4" s="1" t="s">
        <v>6</v>
      </c>
      <c r="C4" s="1" t="s">
        <v>9</v>
      </c>
      <c r="D4" s="1" t="s">
        <v>9</v>
      </c>
      <c r="E4" s="1" t="s">
        <v>14</v>
      </c>
      <c r="F4" s="1" t="s">
        <v>17</v>
      </c>
      <c r="G4" s="1" t="s">
        <v>20</v>
      </c>
    </row>
    <row r="5" spans="1:7" x14ac:dyDescent="0.3">
      <c r="A5" s="2" t="s">
        <v>24</v>
      </c>
      <c r="B5">
        <v>4000</v>
      </c>
      <c r="C5">
        <v>5400</v>
      </c>
      <c r="D5">
        <v>3000</v>
      </c>
      <c r="E5">
        <v>8000</v>
      </c>
      <c r="F5">
        <v>2000</v>
      </c>
      <c r="G5">
        <v>5000</v>
      </c>
    </row>
    <row r="6" spans="1:7" x14ac:dyDescent="0.3">
      <c r="B6" s="1"/>
      <c r="C6" s="1"/>
      <c r="D6" s="1"/>
    </row>
    <row r="7" spans="1:7" x14ac:dyDescent="0.3">
      <c r="B7" s="1"/>
      <c r="C7" s="1"/>
      <c r="D7" s="1"/>
    </row>
    <row r="9" spans="1:7" ht="20.399999999999999" thickBot="1" x14ac:dyDescent="0.45">
      <c r="C9" s="8" t="s">
        <v>93</v>
      </c>
    </row>
    <row r="10" spans="1:7" ht="15" thickTop="1" x14ac:dyDescent="0.3"/>
    <row r="11" spans="1:7" x14ac:dyDescent="0.3">
      <c r="C11" t="s">
        <v>21</v>
      </c>
    </row>
    <row r="12" spans="1:7" x14ac:dyDescent="0.3">
      <c r="C12" s="2" t="s">
        <v>1</v>
      </c>
      <c r="D12" s="7" t="s">
        <v>7</v>
      </c>
    </row>
    <row r="13" spans="1:7" x14ac:dyDescent="0.3">
      <c r="C13" s="2" t="s">
        <v>23</v>
      </c>
      <c r="D13" s="3">
        <f>HLOOKUP(D12,Oursearch3,4,0)</f>
        <v>5400</v>
      </c>
    </row>
    <row r="23" spans="3:4" x14ac:dyDescent="0.3">
      <c r="C23" t="s">
        <v>22</v>
      </c>
    </row>
    <row r="24" spans="3:4" x14ac:dyDescent="0.3">
      <c r="C24" s="2" t="s">
        <v>0</v>
      </c>
      <c r="D24" s="4">
        <v>103</v>
      </c>
    </row>
    <row r="25" spans="3:4" x14ac:dyDescent="0.3">
      <c r="C25" s="2" t="s">
        <v>3</v>
      </c>
      <c r="D25" s="3" t="str">
        <f>HLOOKUP(D24,A1:G4,4,0)</f>
        <v>Chef Manager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A22-5BAE-4DC0-B329-1F38A2B0010B}">
  <dimension ref="A1:H21"/>
  <sheetViews>
    <sheetView workbookViewId="0">
      <selection activeCell="H15" sqref="H15"/>
    </sheetView>
  </sheetViews>
  <sheetFormatPr defaultRowHeight="14.4" x14ac:dyDescent="0.3"/>
  <cols>
    <col min="2" max="2" width="19" customWidth="1"/>
    <col min="3" max="3" width="31.77734375" customWidth="1"/>
    <col min="4" max="4" width="18.6640625" customWidth="1"/>
    <col min="5" max="5" width="12.6640625" customWidth="1"/>
    <col min="7" max="7" width="10.5546875" customWidth="1"/>
    <col min="8" max="8" width="15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</row>
    <row r="2" spans="1:8" ht="18" thickBot="1" x14ac:dyDescent="0.4">
      <c r="A2">
        <v>105</v>
      </c>
      <c r="B2" t="s">
        <v>35</v>
      </c>
      <c r="C2" t="s">
        <v>36</v>
      </c>
      <c r="D2" t="s">
        <v>17</v>
      </c>
      <c r="E2" t="s">
        <v>37</v>
      </c>
      <c r="G2" s="6" t="s">
        <v>92</v>
      </c>
      <c r="H2" s="6"/>
    </row>
    <row r="3" spans="1:8" ht="15" thickTop="1" x14ac:dyDescent="0.3">
      <c r="A3">
        <v>113</v>
      </c>
      <c r="B3" t="s">
        <v>63</v>
      </c>
      <c r="C3" t="s">
        <v>64</v>
      </c>
      <c r="D3" t="s">
        <v>65</v>
      </c>
      <c r="E3" t="s">
        <v>66</v>
      </c>
    </row>
    <row r="4" spans="1:8" x14ac:dyDescent="0.3">
      <c r="A4">
        <v>103</v>
      </c>
      <c r="B4" t="s">
        <v>10</v>
      </c>
      <c r="C4" t="s">
        <v>30</v>
      </c>
      <c r="D4" t="s">
        <v>9</v>
      </c>
      <c r="E4" t="s">
        <v>31</v>
      </c>
      <c r="G4" t="s">
        <v>90</v>
      </c>
    </row>
    <row r="5" spans="1:8" x14ac:dyDescent="0.3">
      <c r="A5">
        <v>111</v>
      </c>
      <c r="B5" t="s">
        <v>55</v>
      </c>
      <c r="C5" t="s">
        <v>56</v>
      </c>
      <c r="D5" t="s">
        <v>57</v>
      </c>
      <c r="E5" t="s">
        <v>58</v>
      </c>
      <c r="G5" s="2" t="s">
        <v>1</v>
      </c>
      <c r="H5" s="4" t="s">
        <v>77</v>
      </c>
    </row>
    <row r="6" spans="1:8" x14ac:dyDescent="0.3">
      <c r="A6">
        <v>108</v>
      </c>
      <c r="B6" t="s">
        <v>43</v>
      </c>
      <c r="C6" t="s">
        <v>44</v>
      </c>
      <c r="D6" t="s">
        <v>45</v>
      </c>
      <c r="E6" t="s">
        <v>46</v>
      </c>
      <c r="G6" s="2" t="s">
        <v>23</v>
      </c>
      <c r="H6" s="3" t="str">
        <f>LOOKUP(H5,B2:B21,E2:E21)</f>
        <v>$9,000.00</v>
      </c>
    </row>
    <row r="7" spans="1:8" x14ac:dyDescent="0.3">
      <c r="A7">
        <v>102</v>
      </c>
      <c r="B7" t="s">
        <v>7</v>
      </c>
      <c r="C7" t="s">
        <v>28</v>
      </c>
      <c r="D7" t="s">
        <v>9</v>
      </c>
      <c r="E7" t="s">
        <v>29</v>
      </c>
    </row>
    <row r="8" spans="1:8" x14ac:dyDescent="0.3">
      <c r="A8">
        <v>120</v>
      </c>
      <c r="B8" t="s">
        <v>88</v>
      </c>
      <c r="C8" t="s">
        <v>89</v>
      </c>
      <c r="D8" t="s">
        <v>14</v>
      </c>
      <c r="E8" t="s">
        <v>34</v>
      </c>
    </row>
    <row r="9" spans="1:8" x14ac:dyDescent="0.3">
      <c r="A9">
        <v>109</v>
      </c>
      <c r="B9" t="s">
        <v>47</v>
      </c>
      <c r="C9" t="s">
        <v>48</v>
      </c>
      <c r="D9" t="s">
        <v>49</v>
      </c>
      <c r="E9" t="s">
        <v>50</v>
      </c>
    </row>
    <row r="10" spans="1:8" x14ac:dyDescent="0.3">
      <c r="A10">
        <v>110</v>
      </c>
      <c r="B10" t="s">
        <v>51</v>
      </c>
      <c r="C10" t="s">
        <v>52</v>
      </c>
      <c r="D10" t="s">
        <v>53</v>
      </c>
      <c r="E10" t="s">
        <v>54</v>
      </c>
    </row>
    <row r="11" spans="1:8" x14ac:dyDescent="0.3">
      <c r="A11">
        <v>118</v>
      </c>
      <c r="B11" t="s">
        <v>80</v>
      </c>
      <c r="C11" t="s">
        <v>81</v>
      </c>
      <c r="D11" t="s">
        <v>82</v>
      </c>
      <c r="E11" t="s">
        <v>83</v>
      </c>
    </row>
    <row r="12" spans="1:8" x14ac:dyDescent="0.3">
      <c r="A12">
        <v>106</v>
      </c>
      <c r="B12" t="s">
        <v>18</v>
      </c>
      <c r="C12" t="s">
        <v>19</v>
      </c>
      <c r="D12" t="s">
        <v>20</v>
      </c>
      <c r="E12" t="s">
        <v>38</v>
      </c>
      <c r="G12" t="s">
        <v>91</v>
      </c>
    </row>
    <row r="13" spans="1:8" x14ac:dyDescent="0.3">
      <c r="A13">
        <v>119</v>
      </c>
      <c r="B13" t="s">
        <v>84</v>
      </c>
      <c r="C13" t="s">
        <v>85</v>
      </c>
      <c r="D13" t="s">
        <v>86</v>
      </c>
      <c r="E13" t="s">
        <v>87</v>
      </c>
    </row>
    <row r="14" spans="1:8" x14ac:dyDescent="0.3">
      <c r="A14">
        <v>117</v>
      </c>
      <c r="B14" t="s">
        <v>77</v>
      </c>
      <c r="C14" t="s">
        <v>78</v>
      </c>
      <c r="D14" t="s">
        <v>25</v>
      </c>
      <c r="E14" t="s">
        <v>79</v>
      </c>
      <c r="G14" s="2" t="s">
        <v>2</v>
      </c>
      <c r="H14" s="3" t="s">
        <v>33</v>
      </c>
    </row>
    <row r="15" spans="1:8" x14ac:dyDescent="0.3">
      <c r="A15">
        <v>104</v>
      </c>
      <c r="B15" t="s">
        <v>32</v>
      </c>
      <c r="C15" t="s">
        <v>33</v>
      </c>
      <c r="D15" t="s">
        <v>14</v>
      </c>
      <c r="E15" t="s">
        <v>34</v>
      </c>
      <c r="G15" s="2" t="s">
        <v>0</v>
      </c>
      <c r="H15" s="3">
        <f>LOOKUP(H14,C1:C21,A1:A21)</f>
        <v>104</v>
      </c>
    </row>
    <row r="16" spans="1:8" x14ac:dyDescent="0.3">
      <c r="A16">
        <v>107</v>
      </c>
      <c r="B16" t="s">
        <v>39</v>
      </c>
      <c r="C16" t="s">
        <v>40</v>
      </c>
      <c r="D16" t="s">
        <v>41</v>
      </c>
      <c r="E16" t="s">
        <v>42</v>
      </c>
    </row>
    <row r="17" spans="1:5" x14ac:dyDescent="0.3">
      <c r="A17">
        <v>115</v>
      </c>
      <c r="B17" t="s">
        <v>71</v>
      </c>
      <c r="C17" t="s">
        <v>72</v>
      </c>
      <c r="D17" t="s">
        <v>73</v>
      </c>
      <c r="E17" t="s">
        <v>42</v>
      </c>
    </row>
    <row r="18" spans="1:5" x14ac:dyDescent="0.3">
      <c r="A18">
        <v>114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3">
      <c r="A19">
        <v>101</v>
      </c>
      <c r="B19" t="s">
        <v>4</v>
      </c>
      <c r="C19" t="s">
        <v>26</v>
      </c>
      <c r="D19" t="s">
        <v>6</v>
      </c>
      <c r="E19" t="s">
        <v>27</v>
      </c>
    </row>
    <row r="20" spans="1:5" x14ac:dyDescent="0.3">
      <c r="A20">
        <v>116</v>
      </c>
      <c r="B20" t="s">
        <v>74</v>
      </c>
      <c r="C20" t="s">
        <v>75</v>
      </c>
      <c r="D20" t="s">
        <v>41</v>
      </c>
      <c r="E20" t="s">
        <v>76</v>
      </c>
    </row>
    <row r="21" spans="1:5" x14ac:dyDescent="0.3">
      <c r="A21">
        <v>112</v>
      </c>
      <c r="B21" t="s">
        <v>59</v>
      </c>
      <c r="C21" t="s">
        <v>60</v>
      </c>
      <c r="D21" t="s">
        <v>61</v>
      </c>
      <c r="E21" t="s">
        <v>62</v>
      </c>
    </row>
  </sheetData>
  <sortState xmlns:xlrd2="http://schemas.microsoft.com/office/spreadsheetml/2017/richdata2" ref="A2:E21">
    <sortCondition ref="B2:B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0BAB-3745-4741-B7EC-0257F7AB4AB7}">
  <dimension ref="A1:H21"/>
  <sheetViews>
    <sheetView workbookViewId="0">
      <selection activeCell="H4" sqref="H4"/>
    </sheetView>
  </sheetViews>
  <sheetFormatPr defaultRowHeight="14.4" x14ac:dyDescent="0.3"/>
  <cols>
    <col min="1" max="1" width="8.77734375" bestFit="1" customWidth="1"/>
    <col min="2" max="2" width="16.109375" bestFit="1" customWidth="1"/>
    <col min="3" max="3" width="32.21875" bestFit="1" customWidth="1"/>
    <col min="4" max="4" width="15.5546875" bestFit="1" customWidth="1"/>
    <col min="5" max="5" width="10.109375" bestFit="1" customWidth="1"/>
    <col min="7" max="7" width="12.77734375" customWidth="1"/>
    <col min="8" max="8" width="16.6640625" customWidth="1"/>
  </cols>
  <sheetData>
    <row r="1" spans="1:8" ht="20.399999999999999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23</v>
      </c>
      <c r="G1" s="8" t="s">
        <v>97</v>
      </c>
    </row>
    <row r="2" spans="1:8" ht="15" thickTop="1" x14ac:dyDescent="0.3">
      <c r="A2">
        <v>105</v>
      </c>
      <c r="B2" s="1" t="s">
        <v>35</v>
      </c>
      <c r="C2" s="1" t="s">
        <v>36</v>
      </c>
      <c r="D2" s="1" t="s">
        <v>17</v>
      </c>
      <c r="E2" s="1" t="s">
        <v>37</v>
      </c>
      <c r="G2" t="s">
        <v>94</v>
      </c>
    </row>
    <row r="3" spans="1:8" x14ac:dyDescent="0.3">
      <c r="A3">
        <v>113</v>
      </c>
      <c r="B3" s="1" t="s">
        <v>63</v>
      </c>
      <c r="C3" s="1" t="s">
        <v>64</v>
      </c>
      <c r="D3" s="1" t="s">
        <v>65</v>
      </c>
      <c r="E3" s="1" t="s">
        <v>66</v>
      </c>
      <c r="G3" s="5" t="s">
        <v>1</v>
      </c>
      <c r="H3" s="1" t="s">
        <v>51</v>
      </c>
    </row>
    <row r="4" spans="1:8" x14ac:dyDescent="0.3">
      <c r="A4">
        <v>103</v>
      </c>
      <c r="B4" s="1" t="s">
        <v>10</v>
      </c>
      <c r="C4" s="1" t="s">
        <v>30</v>
      </c>
      <c r="D4" s="1" t="s">
        <v>9</v>
      </c>
      <c r="E4" s="1" t="s">
        <v>31</v>
      </c>
      <c r="G4" s="5" t="s">
        <v>23</v>
      </c>
      <c r="H4" t="str">
        <f>INDEX(A1:E21,MATCH(H3,B1:B21,0),5)</f>
        <v>$7,000.00</v>
      </c>
    </row>
    <row r="5" spans="1:8" x14ac:dyDescent="0.3">
      <c r="A5">
        <v>111</v>
      </c>
      <c r="B5" s="1" t="s">
        <v>55</v>
      </c>
      <c r="C5" s="1" t="s">
        <v>56</v>
      </c>
      <c r="D5" s="1" t="s">
        <v>57</v>
      </c>
      <c r="E5" s="1" t="s">
        <v>58</v>
      </c>
    </row>
    <row r="6" spans="1:8" x14ac:dyDescent="0.3">
      <c r="A6">
        <v>108</v>
      </c>
      <c r="B6" s="1" t="s">
        <v>43</v>
      </c>
      <c r="C6" s="1" t="s">
        <v>44</v>
      </c>
      <c r="D6" s="1" t="s">
        <v>45</v>
      </c>
      <c r="E6" s="1" t="s">
        <v>46</v>
      </c>
    </row>
    <row r="7" spans="1:8" x14ac:dyDescent="0.3">
      <c r="A7">
        <v>102</v>
      </c>
      <c r="B7" s="1" t="s">
        <v>7</v>
      </c>
      <c r="C7" s="1" t="s">
        <v>28</v>
      </c>
      <c r="D7" s="1" t="s">
        <v>9</v>
      </c>
      <c r="E7" s="1" t="s">
        <v>29</v>
      </c>
    </row>
    <row r="8" spans="1:8" x14ac:dyDescent="0.3">
      <c r="A8">
        <v>120</v>
      </c>
      <c r="B8" s="1" t="s">
        <v>88</v>
      </c>
      <c r="C8" s="1" t="s">
        <v>89</v>
      </c>
      <c r="D8" s="1" t="s">
        <v>14</v>
      </c>
      <c r="E8" s="1" t="s">
        <v>34</v>
      </c>
      <c r="G8" t="s">
        <v>95</v>
      </c>
    </row>
    <row r="9" spans="1:8" x14ac:dyDescent="0.3">
      <c r="A9">
        <v>109</v>
      </c>
      <c r="B9" s="1" t="s">
        <v>47</v>
      </c>
      <c r="C9" s="1" t="s">
        <v>48</v>
      </c>
      <c r="D9" s="1" t="s">
        <v>49</v>
      </c>
      <c r="E9" s="1" t="s">
        <v>50</v>
      </c>
      <c r="G9" s="5" t="s">
        <v>23</v>
      </c>
      <c r="H9" s="1" t="s">
        <v>58</v>
      </c>
    </row>
    <row r="10" spans="1:8" x14ac:dyDescent="0.3">
      <c r="A10">
        <v>110</v>
      </c>
      <c r="B10" s="1" t="s">
        <v>51</v>
      </c>
      <c r="C10" s="1" t="s">
        <v>52</v>
      </c>
      <c r="D10" s="1" t="s">
        <v>53</v>
      </c>
      <c r="E10" s="1" t="s">
        <v>54</v>
      </c>
      <c r="G10" s="5" t="s">
        <v>0</v>
      </c>
      <c r="H10">
        <f>INDEX(A1:E21,MATCH(H9,E1:E21,0),MATCH(A1,A1:E1,0))</f>
        <v>111</v>
      </c>
    </row>
    <row r="11" spans="1:8" x14ac:dyDescent="0.3">
      <c r="A11">
        <v>118</v>
      </c>
      <c r="B11" s="1" t="s">
        <v>80</v>
      </c>
      <c r="C11" s="1" t="s">
        <v>81</v>
      </c>
      <c r="D11" s="1" t="s">
        <v>82</v>
      </c>
      <c r="E11" s="1" t="s">
        <v>83</v>
      </c>
    </row>
    <row r="12" spans="1:8" x14ac:dyDescent="0.3">
      <c r="A12">
        <v>106</v>
      </c>
      <c r="B12" s="1" t="s">
        <v>18</v>
      </c>
      <c r="C12" s="1" t="s">
        <v>19</v>
      </c>
      <c r="D12" s="1" t="s">
        <v>20</v>
      </c>
      <c r="E12" s="1" t="s">
        <v>38</v>
      </c>
    </row>
    <row r="13" spans="1:8" x14ac:dyDescent="0.3">
      <c r="A13">
        <v>119</v>
      </c>
      <c r="B13" s="1" t="s">
        <v>84</v>
      </c>
      <c r="C13" s="1" t="s">
        <v>85</v>
      </c>
      <c r="D13" s="1" t="s">
        <v>86</v>
      </c>
      <c r="E13" s="1" t="s">
        <v>87</v>
      </c>
    </row>
    <row r="14" spans="1:8" ht="20.399999999999999" thickBot="1" x14ac:dyDescent="0.45">
      <c r="A14">
        <v>117</v>
      </c>
      <c r="B14" s="1" t="s">
        <v>77</v>
      </c>
      <c r="C14" s="1" t="s">
        <v>78</v>
      </c>
      <c r="D14" s="1" t="s">
        <v>25</v>
      </c>
      <c r="E14" s="1" t="s">
        <v>79</v>
      </c>
      <c r="G14" s="8" t="s">
        <v>99</v>
      </c>
    </row>
    <row r="15" spans="1:8" ht="15" thickTop="1" x14ac:dyDescent="0.3">
      <c r="A15">
        <v>104</v>
      </c>
      <c r="B15" s="1" t="s">
        <v>32</v>
      </c>
      <c r="C15" s="1" t="s">
        <v>33</v>
      </c>
      <c r="D15" s="1" t="s">
        <v>14</v>
      </c>
      <c r="E15" s="1" t="s">
        <v>34</v>
      </c>
      <c r="G15" t="s">
        <v>96</v>
      </c>
    </row>
    <row r="16" spans="1:8" x14ac:dyDescent="0.3">
      <c r="A16">
        <v>107</v>
      </c>
      <c r="B16" s="1" t="s">
        <v>39</v>
      </c>
      <c r="C16" s="1" t="s">
        <v>40</v>
      </c>
      <c r="D16" s="1" t="s">
        <v>41</v>
      </c>
      <c r="E16" s="1" t="s">
        <v>42</v>
      </c>
      <c r="G16" s="5" t="s">
        <v>1</v>
      </c>
      <c r="H16" s="1" t="s">
        <v>98</v>
      </c>
    </row>
    <row r="17" spans="1:8" x14ac:dyDescent="0.3">
      <c r="A17">
        <v>115</v>
      </c>
      <c r="B17" s="1" t="s">
        <v>71</v>
      </c>
      <c r="C17" s="1" t="s">
        <v>72</v>
      </c>
      <c r="D17" s="1" t="s">
        <v>73</v>
      </c>
      <c r="E17" s="1" t="s">
        <v>42</v>
      </c>
      <c r="G17" s="5" t="s">
        <v>2</v>
      </c>
      <c r="H17" t="str">
        <f>IFERROR(VLOOKUP(H16,B1:C21,2,0),("NotFound"))</f>
        <v>NotFound</v>
      </c>
    </row>
    <row r="18" spans="1:8" x14ac:dyDescent="0.3">
      <c r="A18">
        <v>114</v>
      </c>
      <c r="B18" s="1" t="s">
        <v>67</v>
      </c>
      <c r="C18" s="1" t="s">
        <v>68</v>
      </c>
      <c r="D18" s="1" t="s">
        <v>69</v>
      </c>
      <c r="E18" s="1" t="s">
        <v>70</v>
      </c>
    </row>
    <row r="19" spans="1:8" x14ac:dyDescent="0.3">
      <c r="A19">
        <v>101</v>
      </c>
      <c r="B19" s="1" t="s">
        <v>4</v>
      </c>
      <c r="C19" s="1" t="s">
        <v>26</v>
      </c>
      <c r="D19" s="1" t="s">
        <v>6</v>
      </c>
      <c r="E19" s="1" t="s">
        <v>27</v>
      </c>
    </row>
    <row r="20" spans="1:8" x14ac:dyDescent="0.3">
      <c r="A20">
        <v>116</v>
      </c>
      <c r="B20" s="1" t="s">
        <v>74</v>
      </c>
      <c r="C20" s="1" t="s">
        <v>75</v>
      </c>
      <c r="D20" s="1" t="s">
        <v>41</v>
      </c>
      <c r="E20" s="1" t="s">
        <v>76</v>
      </c>
    </row>
    <row r="21" spans="1:8" x14ac:dyDescent="0.3">
      <c r="A21">
        <v>112</v>
      </c>
      <c r="B21" s="1" t="s">
        <v>59</v>
      </c>
      <c r="C21" s="1" t="s">
        <v>60</v>
      </c>
      <c r="D21" s="1" t="s">
        <v>61</v>
      </c>
      <c r="E21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B1A7-9B2B-4B74-8854-1ABD5F836881}">
  <dimension ref="A1:J26"/>
  <sheetViews>
    <sheetView workbookViewId="0">
      <selection activeCell="I25" sqref="I25"/>
    </sheetView>
  </sheetViews>
  <sheetFormatPr defaultRowHeight="14.4" x14ac:dyDescent="0.3"/>
  <cols>
    <col min="1" max="1" width="8.77734375" bestFit="1" customWidth="1"/>
    <col min="2" max="2" width="16.109375" bestFit="1" customWidth="1"/>
    <col min="3" max="3" width="32.21875" bestFit="1" customWidth="1"/>
    <col min="4" max="4" width="15.5546875" bestFit="1" customWidth="1"/>
    <col min="5" max="5" width="10.109375" bestFit="1" customWidth="1"/>
    <col min="8" max="8" width="12.77734375" customWidth="1"/>
    <col min="9" max="9" width="12.88671875" customWidth="1"/>
    <col min="10" max="10" width="11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H1" t="s">
        <v>100</v>
      </c>
    </row>
    <row r="2" spans="1:9" ht="20.399999999999999" thickBot="1" x14ac:dyDescent="0.45">
      <c r="A2">
        <v>105</v>
      </c>
      <c r="B2" s="1" t="s">
        <v>35</v>
      </c>
      <c r="C2" s="1" t="s">
        <v>36</v>
      </c>
      <c r="D2" s="1" t="s">
        <v>17</v>
      </c>
      <c r="E2" s="1" t="s">
        <v>37</v>
      </c>
      <c r="G2" s="9" t="s">
        <v>104</v>
      </c>
      <c r="H2" s="2" t="s">
        <v>1</v>
      </c>
      <c r="I2" s="1" t="s">
        <v>47</v>
      </c>
    </row>
    <row r="3" spans="1:9" ht="15" thickTop="1" x14ac:dyDescent="0.3">
      <c r="A3">
        <v>113</v>
      </c>
      <c r="B3" s="1" t="s">
        <v>63</v>
      </c>
      <c r="C3" s="1" t="s">
        <v>64</v>
      </c>
      <c r="D3" s="1" t="s">
        <v>65</v>
      </c>
      <c r="E3" s="1" t="s">
        <v>66</v>
      </c>
      <c r="H3" s="2" t="s">
        <v>3</v>
      </c>
      <c r="I3" s="3" t="str">
        <f>LOOKUP(I2,B1:B21,D1:D21)</f>
        <v>Designer</v>
      </c>
    </row>
    <row r="4" spans="1:9" x14ac:dyDescent="0.3">
      <c r="A4">
        <v>103</v>
      </c>
      <c r="B4" s="1" t="s">
        <v>10</v>
      </c>
      <c r="C4" s="1" t="s">
        <v>30</v>
      </c>
      <c r="D4" s="1" t="s">
        <v>9</v>
      </c>
      <c r="E4" s="1" t="s">
        <v>31</v>
      </c>
    </row>
    <row r="5" spans="1:9" x14ac:dyDescent="0.3">
      <c r="A5">
        <v>111</v>
      </c>
      <c r="B5" s="1" t="s">
        <v>55</v>
      </c>
      <c r="C5" s="1" t="s">
        <v>56</v>
      </c>
      <c r="D5" s="1" t="s">
        <v>57</v>
      </c>
      <c r="E5" s="1" t="s">
        <v>58</v>
      </c>
    </row>
    <row r="6" spans="1:9" x14ac:dyDescent="0.3">
      <c r="A6">
        <v>108</v>
      </c>
      <c r="B6" s="1" t="s">
        <v>43</v>
      </c>
      <c r="C6" s="1" t="s">
        <v>44</v>
      </c>
      <c r="D6" s="1" t="s">
        <v>45</v>
      </c>
      <c r="E6" s="1" t="s">
        <v>46</v>
      </c>
    </row>
    <row r="7" spans="1:9" x14ac:dyDescent="0.3">
      <c r="A7">
        <v>102</v>
      </c>
      <c r="B7" s="1" t="s">
        <v>7</v>
      </c>
      <c r="C7" s="1" t="s">
        <v>28</v>
      </c>
      <c r="D7" s="1" t="s">
        <v>9</v>
      </c>
      <c r="E7" s="1" t="s">
        <v>29</v>
      </c>
    </row>
    <row r="8" spans="1:9" x14ac:dyDescent="0.3">
      <c r="A8">
        <v>120</v>
      </c>
      <c r="B8" s="1" t="s">
        <v>88</v>
      </c>
      <c r="C8" s="1" t="s">
        <v>89</v>
      </c>
      <c r="D8" s="1" t="s">
        <v>14</v>
      </c>
      <c r="E8" s="1" t="s">
        <v>34</v>
      </c>
    </row>
    <row r="9" spans="1:9" x14ac:dyDescent="0.3">
      <c r="A9">
        <v>109</v>
      </c>
      <c r="B9" s="1" t="s">
        <v>47</v>
      </c>
      <c r="C9" s="1" t="s">
        <v>48</v>
      </c>
      <c r="D9" s="1" t="s">
        <v>49</v>
      </c>
      <c r="E9" s="1" t="s">
        <v>50</v>
      </c>
      <c r="H9" t="s">
        <v>101</v>
      </c>
    </row>
    <row r="10" spans="1:9" x14ac:dyDescent="0.3">
      <c r="A10">
        <v>110</v>
      </c>
      <c r="B10" s="1" t="s">
        <v>51</v>
      </c>
      <c r="C10" s="1" t="s">
        <v>52</v>
      </c>
      <c r="D10" s="1" t="s">
        <v>53</v>
      </c>
      <c r="E10" s="1" t="s">
        <v>54</v>
      </c>
      <c r="H10" s="2" t="s">
        <v>2</v>
      </c>
      <c r="I10" s="1" t="s">
        <v>68</v>
      </c>
    </row>
    <row r="11" spans="1:9" x14ac:dyDescent="0.3">
      <c r="A11">
        <v>118</v>
      </c>
      <c r="B11" s="1" t="s">
        <v>80</v>
      </c>
      <c r="C11" s="1" t="s">
        <v>81</v>
      </c>
      <c r="D11" s="1" t="s">
        <v>82</v>
      </c>
      <c r="E11" s="1" t="s">
        <v>83</v>
      </c>
      <c r="H11" s="2" t="s">
        <v>0</v>
      </c>
      <c r="I11" s="3">
        <f>LOOKUP(I10,C1:C21,A1:A21)</f>
        <v>114</v>
      </c>
    </row>
    <row r="12" spans="1:9" x14ac:dyDescent="0.3">
      <c r="A12">
        <v>106</v>
      </c>
      <c r="B12" s="1" t="s">
        <v>18</v>
      </c>
      <c r="C12" s="1" t="s">
        <v>19</v>
      </c>
      <c r="D12" s="1" t="s">
        <v>20</v>
      </c>
      <c r="E12" s="1" t="s">
        <v>38</v>
      </c>
    </row>
    <row r="13" spans="1:9" x14ac:dyDescent="0.3">
      <c r="A13">
        <v>119</v>
      </c>
      <c r="B13" s="1" t="s">
        <v>84</v>
      </c>
      <c r="C13" s="1" t="s">
        <v>85</v>
      </c>
      <c r="D13" s="1" t="s">
        <v>86</v>
      </c>
      <c r="E13" s="1" t="s">
        <v>87</v>
      </c>
    </row>
    <row r="14" spans="1:9" x14ac:dyDescent="0.3">
      <c r="A14">
        <v>117</v>
      </c>
      <c r="B14" s="1" t="s">
        <v>77</v>
      </c>
      <c r="C14" s="1" t="s">
        <v>78</v>
      </c>
      <c r="D14" s="1" t="s">
        <v>25</v>
      </c>
      <c r="E14" s="1" t="s">
        <v>79</v>
      </c>
    </row>
    <row r="15" spans="1:9" x14ac:dyDescent="0.3">
      <c r="A15">
        <v>104</v>
      </c>
      <c r="B15" s="1" t="s">
        <v>32</v>
      </c>
      <c r="C15" s="1" t="s">
        <v>33</v>
      </c>
      <c r="D15" s="1" t="s">
        <v>14</v>
      </c>
      <c r="E15" s="1" t="s">
        <v>34</v>
      </c>
    </row>
    <row r="16" spans="1:9" x14ac:dyDescent="0.3">
      <c r="A16">
        <v>107</v>
      </c>
      <c r="B16" s="1" t="s">
        <v>39</v>
      </c>
      <c r="C16" s="1" t="s">
        <v>40</v>
      </c>
      <c r="D16" s="1" t="s">
        <v>41</v>
      </c>
      <c r="E16" s="1" t="s">
        <v>42</v>
      </c>
    </row>
    <row r="17" spans="1:10" x14ac:dyDescent="0.3">
      <c r="A17">
        <v>115</v>
      </c>
      <c r="B17" s="1" t="s">
        <v>71</v>
      </c>
      <c r="C17" s="1" t="s">
        <v>72</v>
      </c>
      <c r="D17" s="1" t="s">
        <v>73</v>
      </c>
      <c r="E17" s="1" t="s">
        <v>42</v>
      </c>
      <c r="H17" t="s">
        <v>102</v>
      </c>
    </row>
    <row r="18" spans="1:10" x14ac:dyDescent="0.3">
      <c r="A18">
        <v>114</v>
      </c>
      <c r="B18" s="1" t="s">
        <v>67</v>
      </c>
      <c r="C18" s="1" t="s">
        <v>68</v>
      </c>
      <c r="D18" s="1" t="s">
        <v>69</v>
      </c>
      <c r="E18" s="1" t="s">
        <v>70</v>
      </c>
      <c r="H18" s="2" t="s">
        <v>1</v>
      </c>
      <c r="I18" s="2" t="s">
        <v>3</v>
      </c>
      <c r="J18" s="2" t="s">
        <v>23</v>
      </c>
    </row>
    <row r="19" spans="1:10" x14ac:dyDescent="0.3">
      <c r="A19">
        <v>101</v>
      </c>
      <c r="B19" s="1" t="s">
        <v>4</v>
      </c>
      <c r="C19" s="1" t="s">
        <v>26</v>
      </c>
      <c r="D19" s="1" t="s">
        <v>6</v>
      </c>
      <c r="E19" s="1" t="s">
        <v>27</v>
      </c>
      <c r="H19" s="1" t="s">
        <v>35</v>
      </c>
      <c r="I19" s="3" t="str">
        <f>LOOKUP(H19,B1:B21,D1:D21)</f>
        <v>Fabricator</v>
      </c>
      <c r="J19" s="3" t="str">
        <f>LOOKUP(H19,B1:B21,E1:E21)</f>
        <v>$2,000.00</v>
      </c>
    </row>
    <row r="20" spans="1:10" x14ac:dyDescent="0.3">
      <c r="A20">
        <v>116</v>
      </c>
      <c r="B20" s="1" t="s">
        <v>74</v>
      </c>
      <c r="C20" s="1" t="s">
        <v>75</v>
      </c>
      <c r="D20" s="1" t="s">
        <v>41</v>
      </c>
      <c r="E20" s="1" t="s">
        <v>76</v>
      </c>
    </row>
    <row r="21" spans="1:10" x14ac:dyDescent="0.3">
      <c r="A21">
        <v>112</v>
      </c>
      <c r="B21" s="1" t="s">
        <v>59</v>
      </c>
      <c r="C21" s="1" t="s">
        <v>60</v>
      </c>
      <c r="D21" s="1" t="s">
        <v>61</v>
      </c>
      <c r="E21" s="1" t="s">
        <v>62</v>
      </c>
    </row>
    <row r="24" spans="1:10" x14ac:dyDescent="0.3">
      <c r="H24" t="s">
        <v>103</v>
      </c>
    </row>
    <row r="25" spans="1:10" x14ac:dyDescent="0.3">
      <c r="H25" s="2" t="s">
        <v>0</v>
      </c>
      <c r="I25" s="3">
        <v>130</v>
      </c>
    </row>
    <row r="26" spans="1:10" x14ac:dyDescent="0.3">
      <c r="H26" s="2" t="s">
        <v>1</v>
      </c>
      <c r="I26" s="3" t="str">
        <f>IFERROR(VLOOKUP(I25,A1:C21,2,0),"Name Not Found")</f>
        <v>Name Not Found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FC48-AA9A-4035-906C-70B140C4577F}">
  <dimension ref="A1:C8"/>
  <sheetViews>
    <sheetView tabSelected="1" workbookViewId="0">
      <selection activeCell="E1" sqref="E1:H1"/>
    </sheetView>
  </sheetViews>
  <sheetFormatPr defaultRowHeight="14.4" x14ac:dyDescent="0.3"/>
  <cols>
    <col min="1" max="1" width="13.88671875" bestFit="1" customWidth="1"/>
    <col min="2" max="2" width="18.109375" bestFit="1" customWidth="1"/>
    <col min="3" max="3" width="11.44140625" bestFit="1" customWidth="1"/>
    <col min="4" max="8" width="10.6640625" bestFit="1" customWidth="1"/>
  </cols>
  <sheetData>
    <row r="1" spans="1:3" x14ac:dyDescent="0.3">
      <c r="A1" t="s">
        <v>105</v>
      </c>
      <c r="B1" t="s">
        <v>106</v>
      </c>
      <c r="C1" t="s">
        <v>107</v>
      </c>
    </row>
    <row r="2" spans="1:3" x14ac:dyDescent="0.3">
      <c r="A2">
        <v>20</v>
      </c>
      <c r="B2">
        <v>10</v>
      </c>
      <c r="C2">
        <v>12</v>
      </c>
    </row>
    <row r="3" spans="1:3" x14ac:dyDescent="0.3">
      <c r="A3">
        <v>26</v>
      </c>
      <c r="B3">
        <v>20</v>
      </c>
      <c r="C3">
        <v>15</v>
      </c>
    </row>
    <row r="4" spans="1:3" x14ac:dyDescent="0.3">
      <c r="A4">
        <v>30</v>
      </c>
      <c r="B4">
        <v>25</v>
      </c>
      <c r="C4">
        <v>10</v>
      </c>
    </row>
    <row r="5" spans="1:3" x14ac:dyDescent="0.3">
      <c r="A5">
        <v>35</v>
      </c>
      <c r="B5">
        <v>30</v>
      </c>
      <c r="C5">
        <v>20</v>
      </c>
    </row>
    <row r="6" spans="1:3" x14ac:dyDescent="0.3">
      <c r="A6">
        <v>38</v>
      </c>
      <c r="B6">
        <v>35</v>
      </c>
      <c r="C6">
        <v>25</v>
      </c>
    </row>
    <row r="7" spans="1:3" x14ac:dyDescent="0.3">
      <c r="A7">
        <v>40</v>
      </c>
      <c r="B7">
        <v>50</v>
      </c>
      <c r="C7">
        <v>20</v>
      </c>
    </row>
    <row r="8" spans="1:3" x14ac:dyDescent="0.3">
      <c r="A8">
        <v>45</v>
      </c>
      <c r="B8">
        <v>60</v>
      </c>
      <c r="C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BA66B-1D93-4171-A771-C66B463BC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Hlookup</vt:lpstr>
      <vt:lpstr>Sheet1</vt:lpstr>
      <vt:lpstr>sheet 2</vt:lpstr>
      <vt:lpstr>Sheet 3</vt:lpstr>
      <vt:lpstr>Descriptive stats</vt:lpstr>
      <vt:lpstr>Oursearch3</vt:lpstr>
      <vt:lpstr>Outsearch4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Vaidya</dc:creator>
  <cp:lastModifiedBy>Manthan Vaidya</cp:lastModifiedBy>
  <dcterms:created xsi:type="dcterms:W3CDTF">2026-09-01T12:21:44Z</dcterms:created>
  <dcterms:modified xsi:type="dcterms:W3CDTF">2026-09-01T14:56:59Z</dcterms:modified>
</cp:coreProperties>
</file>